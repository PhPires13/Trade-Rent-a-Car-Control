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lucianapires/Desktop/TRADE/"/>
    </mc:Choice>
  </mc:AlternateContent>
  <xr:revisionPtr revIDLastSave="0" documentId="13_ncr:1_{25974E90-9EC7-7D43-86B7-29C2A1B53B12}" xr6:coauthVersionLast="47" xr6:coauthVersionMax="47" xr10:uidLastSave="{00000000-0000-0000-0000-000000000000}"/>
  <bookViews>
    <workbookView xWindow="35420" yWindow="1740" windowWidth="23560" windowHeight="15240" xr2:uid="{00000000-000D-0000-FFFF-FFFF00000000}"/>
  </bookViews>
  <sheets>
    <sheet name="Frota" sheetId="8" r:id="rId1"/>
    <sheet name="Planilha PH" sheetId="9" r:id="rId2"/>
    <sheet name="Sinistros" sheetId="10" r:id="rId3"/>
    <sheet name="Cont.km.2025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8" l="1"/>
  <c r="DS16" i="7"/>
  <c r="DQ19" i="7"/>
  <c r="DS19" i="7" s="1"/>
  <c r="DT19" i="7" s="1"/>
  <c r="DU19" i="7" s="1"/>
  <c r="DQ18" i="7"/>
  <c r="DS18" i="7" s="1"/>
  <c r="DT18" i="7" s="1"/>
  <c r="DU18" i="7" s="1"/>
  <c r="DQ17" i="7"/>
  <c r="DS17" i="7" s="1"/>
  <c r="DT17" i="7" s="1"/>
  <c r="DU17" i="7" s="1"/>
  <c r="DV20" i="7"/>
  <c r="DV19" i="7"/>
  <c r="DV18" i="7"/>
  <c r="DV17" i="7"/>
  <c r="DV16" i="7"/>
  <c r="DV15" i="7"/>
  <c r="DQ16" i="7"/>
  <c r="DT16" i="7" s="1"/>
  <c r="DU16" i="7" s="1"/>
  <c r="DS15" i="7"/>
  <c r="DT15" i="7" s="1"/>
  <c r="DU15" i="7" s="1"/>
  <c r="DQ15" i="7"/>
  <c r="DM18" i="7"/>
  <c r="DH18" i="7"/>
  <c r="DJ18" i="7" s="1"/>
  <c r="DK18" i="7" s="1"/>
  <c r="DL18" i="7" s="1"/>
  <c r="DM17" i="7"/>
  <c r="DH17" i="7"/>
  <c r="DJ17" i="7" s="1"/>
  <c r="DK17" i="7" s="1"/>
  <c r="DL17" i="7" s="1"/>
  <c r="DM16" i="7"/>
  <c r="DH16" i="7"/>
  <c r="DJ16" i="7" s="1"/>
  <c r="DK16" i="7" s="1"/>
  <c r="DL16" i="7" s="1"/>
  <c r="DM15" i="7"/>
  <c r="DH14" i="7"/>
  <c r="DH15" i="7"/>
  <c r="DJ15" i="7" s="1"/>
  <c r="DK15" i="7" s="1"/>
  <c r="DL15" i="7" s="1"/>
  <c r="CY20" i="7" l="1"/>
  <c r="DA20" i="7" s="1"/>
  <c r="DB20" i="7" s="1"/>
  <c r="DC20" i="7" s="1"/>
  <c r="CY19" i="7"/>
  <c r="DA19" i="7" s="1"/>
  <c r="DB19" i="7" s="1"/>
  <c r="DC19" i="7" s="1"/>
  <c r="CY18" i="7"/>
  <c r="DA18" i="7" s="1"/>
  <c r="DB18" i="7" s="1"/>
  <c r="DC18" i="7" s="1"/>
  <c r="DA17" i="7"/>
  <c r="DB17" i="7" s="1"/>
  <c r="DC17" i="7" s="1"/>
  <c r="CY17" i="7"/>
  <c r="CY16" i="7"/>
  <c r="DA16" i="7" s="1"/>
  <c r="DB16" i="7" s="1"/>
  <c r="DC16" i="7" s="1"/>
  <c r="DD20" i="7"/>
  <c r="DD19" i="7"/>
  <c r="DD18" i="7"/>
  <c r="DD17" i="7"/>
  <c r="DD16" i="7"/>
  <c r="DD15" i="7"/>
  <c r="DD14" i="7"/>
  <c r="DD13" i="7"/>
  <c r="DB15" i="7"/>
  <c r="DA15" i="7"/>
  <c r="DC15" i="7"/>
  <c r="CY15" i="7"/>
  <c r="CU19" i="7"/>
  <c r="CU18" i="7"/>
  <c r="CU17" i="7"/>
  <c r="CU16" i="7"/>
  <c r="CU15" i="7"/>
  <c r="CL12" i="7"/>
  <c r="CI12" i="7"/>
  <c r="CJ12" i="7" s="1"/>
  <c r="CK12" i="7" s="1"/>
  <c r="CL22" i="7"/>
  <c r="CL21" i="7"/>
  <c r="CL20" i="7"/>
  <c r="CL19" i="7"/>
  <c r="CL18" i="7"/>
  <c r="CL17" i="7"/>
  <c r="CL16" i="7"/>
  <c r="CL15" i="7"/>
  <c r="CL14" i="7"/>
  <c r="CL13" i="7"/>
  <c r="CC22" i="7"/>
  <c r="CC21" i="7"/>
  <c r="CC20" i="7"/>
  <c r="CC19" i="7"/>
  <c r="CC18" i="7"/>
  <c r="CC17" i="7"/>
  <c r="CC16" i="7"/>
  <c r="CC15" i="7"/>
  <c r="BT22" i="7"/>
  <c r="BT21" i="7"/>
  <c r="BT20" i="7"/>
  <c r="BT19" i="7"/>
  <c r="BT18" i="7"/>
  <c r="BT17" i="7"/>
  <c r="BT16" i="7"/>
  <c r="BT15" i="7"/>
  <c r="BK22" i="7"/>
  <c r="BK21" i="7"/>
  <c r="BK20" i="7"/>
  <c r="BK19" i="7"/>
  <c r="BK18" i="7"/>
  <c r="BK17" i="7"/>
  <c r="BK16" i="7"/>
  <c r="BK15" i="7"/>
  <c r="BB22" i="7"/>
  <c r="BB21" i="7"/>
  <c r="BB20" i="7"/>
  <c r="BB19" i="7"/>
  <c r="BB18" i="7"/>
  <c r="BB17" i="7"/>
  <c r="BB16" i="7"/>
  <c r="BB15" i="7"/>
  <c r="AW16" i="7"/>
  <c r="AY16" i="7" s="1"/>
  <c r="AZ16" i="7" s="1"/>
  <c r="BA16" i="7" s="1"/>
  <c r="AS22" i="7"/>
  <c r="AS21" i="7"/>
  <c r="AS20" i="7"/>
  <c r="AS19" i="7"/>
  <c r="AS18" i="7"/>
  <c r="AS17" i="7"/>
  <c r="AS16" i="7"/>
  <c r="AS14" i="7"/>
  <c r="AN16" i="7"/>
  <c r="AP16" i="7" s="1"/>
  <c r="AQ16" i="7" s="1"/>
  <c r="AR16" i="7" s="1"/>
  <c r="R16" i="7"/>
  <c r="O16" i="7"/>
  <c r="P16" i="7" s="1"/>
  <c r="Q16" i="7" s="1"/>
  <c r="M16" i="7"/>
  <c r="AG13" i="7" l="1"/>
  <c r="AH13" i="7" s="1"/>
  <c r="AI13" i="7" s="1"/>
  <c r="AE14" i="7"/>
  <c r="AG14" i="7" s="1"/>
  <c r="AH14" i="7" s="1"/>
  <c r="AI14" i="7" s="1"/>
  <c r="AA22" i="7"/>
  <c r="AA21" i="7"/>
  <c r="AA20" i="7"/>
  <c r="AA19" i="7"/>
  <c r="AA18" i="7"/>
  <c r="AA17" i="7"/>
  <c r="AA16" i="7"/>
  <c r="AA15" i="7"/>
  <c r="R14" i="7"/>
  <c r="R22" i="7"/>
  <c r="R21" i="7"/>
  <c r="R20" i="7"/>
  <c r="R19" i="7"/>
  <c r="R18" i="7"/>
  <c r="R17" i="7"/>
  <c r="R15" i="7"/>
  <c r="I22" i="7"/>
  <c r="I21" i="7"/>
  <c r="I20" i="7"/>
  <c r="I19" i="7"/>
  <c r="I18" i="7"/>
  <c r="I17" i="7"/>
  <c r="I16" i="7"/>
  <c r="I15" i="7"/>
  <c r="I14" i="7"/>
  <c r="CY13" i="7"/>
  <c r="DA13" i="7" s="1"/>
  <c r="DB13" i="7" s="1"/>
  <c r="DC13" i="7" s="1"/>
  <c r="CY14" i="7"/>
  <c r="DA14" i="7" s="1"/>
  <c r="DB14" i="7" s="1"/>
  <c r="DC14" i="7" l="1"/>
  <c r="CC14" i="7" l="1"/>
  <c r="BT14" i="7"/>
  <c r="BB14" i="7"/>
  <c r="AS13" i="7"/>
  <c r="AS11" i="7"/>
  <c r="AA14" i="7"/>
  <c r="BK14" i="7"/>
  <c r="BK13" i="7"/>
  <c r="I13" i="7"/>
  <c r="I11" i="7"/>
  <c r="CL10" i="7"/>
  <c r="BK11" i="7"/>
  <c r="AJ11" i="7"/>
  <c r="R10" i="7"/>
  <c r="F10" i="7"/>
  <c r="G10" i="7" s="1"/>
  <c r="H10" i="7" s="1"/>
  <c r="CP22" i="7"/>
  <c r="CR22" i="7" s="1"/>
  <c r="CS22" i="7" s="1"/>
  <c r="CT22" i="7" s="1"/>
  <c r="CP21" i="7"/>
  <c r="CR21" i="7" s="1"/>
  <c r="CS21" i="7" s="1"/>
  <c r="CT21" i="7" s="1"/>
  <c r="CP20" i="7"/>
  <c r="CR20" i="7" s="1"/>
  <c r="CS20" i="7" s="1"/>
  <c r="CT20" i="7" s="1"/>
  <c r="CP19" i="7"/>
  <c r="CR19" i="7" s="1"/>
  <c r="CS19" i="7" s="1"/>
  <c r="CT19" i="7" s="1"/>
  <c r="CP18" i="7"/>
  <c r="CR18" i="7" s="1"/>
  <c r="CS18" i="7" s="1"/>
  <c r="CT18" i="7" s="1"/>
  <c r="CP17" i="7"/>
  <c r="CR17" i="7" s="1"/>
  <c r="CS17" i="7" s="1"/>
  <c r="CT17" i="7" s="1"/>
  <c r="CP16" i="7"/>
  <c r="CR16" i="7" s="1"/>
  <c r="CS16" i="7" s="1"/>
  <c r="CT16" i="7" s="1"/>
  <c r="CP15" i="7"/>
  <c r="CR15" i="7" s="1"/>
  <c r="CS15" i="7" s="1"/>
  <c r="CT15" i="7" s="1"/>
  <c r="CP14" i="7"/>
  <c r="CR14" i="7" s="1"/>
  <c r="CS14" i="7" s="1"/>
  <c r="CT14" i="7" s="1"/>
  <c r="CP13" i="7"/>
  <c r="CR13" i="7" s="1"/>
  <c r="CS13" i="7" s="1"/>
  <c r="CT13" i="7" s="1"/>
  <c r="CP11" i="7"/>
  <c r="CR11" i="7" s="1"/>
  <c r="CS11" i="7" s="1"/>
  <c r="CT11" i="7" s="1"/>
  <c r="CP10" i="7"/>
  <c r="CR10" i="7" s="1"/>
  <c r="CS10" i="7" s="1"/>
  <c r="CT10" i="7" s="1"/>
  <c r="CG22" i="7"/>
  <c r="CI22" i="7" s="1"/>
  <c r="CJ22" i="7" s="1"/>
  <c r="CK22" i="7" s="1"/>
  <c r="CG21" i="7"/>
  <c r="CI21" i="7" s="1"/>
  <c r="CJ21" i="7" s="1"/>
  <c r="CK21" i="7" s="1"/>
  <c r="CG20" i="7"/>
  <c r="CI20" i="7" s="1"/>
  <c r="CJ20" i="7" s="1"/>
  <c r="CK20" i="7" s="1"/>
  <c r="CG19" i="7"/>
  <c r="CI19" i="7" s="1"/>
  <c r="CJ19" i="7" s="1"/>
  <c r="CK19" i="7" s="1"/>
  <c r="CG18" i="7"/>
  <c r="CI18" i="7" s="1"/>
  <c r="CJ18" i="7" s="1"/>
  <c r="CK18" i="7" s="1"/>
  <c r="CG17" i="7"/>
  <c r="CI17" i="7" s="1"/>
  <c r="CJ17" i="7" s="1"/>
  <c r="CK17" i="7" s="1"/>
  <c r="CG16" i="7"/>
  <c r="CI16" i="7" s="1"/>
  <c r="CJ16" i="7" s="1"/>
  <c r="CK16" i="7" s="1"/>
  <c r="CG15" i="7"/>
  <c r="CI15" i="7" s="1"/>
  <c r="CJ15" i="7" s="1"/>
  <c r="CK15" i="7" s="1"/>
  <c r="CG14" i="7"/>
  <c r="CI14" i="7" s="1"/>
  <c r="CJ14" i="7" s="1"/>
  <c r="CK14" i="7" s="1"/>
  <c r="CG13" i="7"/>
  <c r="CI13" i="7" s="1"/>
  <c r="CJ13" i="7" s="1"/>
  <c r="CK13" i="7" s="1"/>
  <c r="CI10" i="7"/>
  <c r="CJ10" i="7" s="1"/>
  <c r="CK10" i="7" s="1"/>
  <c r="BX22" i="7"/>
  <c r="BZ22" i="7" s="1"/>
  <c r="CA22" i="7" s="1"/>
  <c r="CB22" i="7" s="1"/>
  <c r="BX21" i="7"/>
  <c r="BZ21" i="7" s="1"/>
  <c r="CA21" i="7" s="1"/>
  <c r="CB21" i="7" s="1"/>
  <c r="BX20" i="7"/>
  <c r="BZ20" i="7" s="1"/>
  <c r="CA20" i="7" s="1"/>
  <c r="CB20" i="7" s="1"/>
  <c r="BX19" i="7"/>
  <c r="BZ19" i="7" s="1"/>
  <c r="CA19" i="7" s="1"/>
  <c r="CB19" i="7" s="1"/>
  <c r="BX18" i="7"/>
  <c r="BZ18" i="7" s="1"/>
  <c r="CA18" i="7" s="1"/>
  <c r="CB18" i="7" s="1"/>
  <c r="BX17" i="7"/>
  <c r="BZ17" i="7" s="1"/>
  <c r="CA17" i="7" s="1"/>
  <c r="CB17" i="7" s="1"/>
  <c r="BX16" i="7"/>
  <c r="BZ16" i="7" s="1"/>
  <c r="CA16" i="7" s="1"/>
  <c r="CB16" i="7" s="1"/>
  <c r="BX15" i="7"/>
  <c r="BZ15" i="7" s="1"/>
  <c r="CA15" i="7" s="1"/>
  <c r="CB15" i="7" s="1"/>
  <c r="BX14" i="7"/>
  <c r="BZ14" i="7" s="1"/>
  <c r="CA14" i="7" s="1"/>
  <c r="CB14" i="7" s="1"/>
  <c r="BX13" i="7"/>
  <c r="BZ13" i="7" s="1"/>
  <c r="CA13" i="7" s="1"/>
  <c r="CB13" i="7" s="1"/>
  <c r="BX11" i="7"/>
  <c r="BZ11" i="7" s="1"/>
  <c r="CA11" i="7" s="1"/>
  <c r="CB11" i="7" s="1"/>
  <c r="BX10" i="7"/>
  <c r="BZ10" i="7" s="1"/>
  <c r="CA10" i="7" s="1"/>
  <c r="CB10" i="7" s="1"/>
  <c r="BO22" i="7"/>
  <c r="BQ22" i="7" s="1"/>
  <c r="BR22" i="7" s="1"/>
  <c r="BS22" i="7" s="1"/>
  <c r="BO21" i="7"/>
  <c r="BQ21" i="7" s="1"/>
  <c r="BR21" i="7" s="1"/>
  <c r="BS21" i="7" s="1"/>
  <c r="BO20" i="7"/>
  <c r="BQ20" i="7" s="1"/>
  <c r="BR20" i="7" s="1"/>
  <c r="BS20" i="7" s="1"/>
  <c r="BO19" i="7"/>
  <c r="BQ19" i="7" s="1"/>
  <c r="BR19" i="7" s="1"/>
  <c r="BS19" i="7" s="1"/>
  <c r="BO18" i="7"/>
  <c r="BQ18" i="7" s="1"/>
  <c r="BR18" i="7" s="1"/>
  <c r="BS18" i="7" s="1"/>
  <c r="BO17" i="7"/>
  <c r="BQ17" i="7" s="1"/>
  <c r="BR17" i="7" s="1"/>
  <c r="BS17" i="7" s="1"/>
  <c r="BO16" i="7"/>
  <c r="BQ16" i="7" s="1"/>
  <c r="BR16" i="7" s="1"/>
  <c r="BS16" i="7" s="1"/>
  <c r="BO15" i="7"/>
  <c r="BQ15" i="7" s="1"/>
  <c r="BR15" i="7" s="1"/>
  <c r="BS15" i="7" s="1"/>
  <c r="BO14" i="7"/>
  <c r="BQ14" i="7" s="1"/>
  <c r="BR14" i="7" s="1"/>
  <c r="BS14" i="7" s="1"/>
  <c r="BO13" i="7"/>
  <c r="BQ13" i="7" s="1"/>
  <c r="BR13" i="7" s="1"/>
  <c r="BS13" i="7" s="1"/>
  <c r="BO11" i="7"/>
  <c r="BQ11" i="7" s="1"/>
  <c r="BR11" i="7" s="1"/>
  <c r="BS11" i="7" s="1"/>
  <c r="BQ10" i="7"/>
  <c r="BR10" i="7" s="1"/>
  <c r="BS10" i="7" s="1"/>
  <c r="BF22" i="7"/>
  <c r="BH22" i="7" s="1"/>
  <c r="BI22" i="7" s="1"/>
  <c r="BJ22" i="7" s="1"/>
  <c r="BF21" i="7"/>
  <c r="BH21" i="7" s="1"/>
  <c r="BI21" i="7" s="1"/>
  <c r="BJ21" i="7" s="1"/>
  <c r="BF20" i="7"/>
  <c r="BH20" i="7" s="1"/>
  <c r="BI20" i="7" s="1"/>
  <c r="BJ20" i="7" s="1"/>
  <c r="BF19" i="7"/>
  <c r="BH19" i="7" s="1"/>
  <c r="BI19" i="7" s="1"/>
  <c r="BJ19" i="7" s="1"/>
  <c r="BF18" i="7"/>
  <c r="BH18" i="7" s="1"/>
  <c r="BI18" i="7" s="1"/>
  <c r="BJ18" i="7" s="1"/>
  <c r="BF17" i="7"/>
  <c r="BH17" i="7" s="1"/>
  <c r="BI17" i="7" s="1"/>
  <c r="BJ17" i="7" s="1"/>
  <c r="BF16" i="7"/>
  <c r="BH16" i="7" s="1"/>
  <c r="BI16" i="7" s="1"/>
  <c r="BJ16" i="7" s="1"/>
  <c r="BH15" i="7"/>
  <c r="BI15" i="7" s="1"/>
  <c r="BJ15" i="7" s="1"/>
  <c r="BF14" i="7"/>
  <c r="BH14" i="7" s="1"/>
  <c r="BI14" i="7" s="1"/>
  <c r="BJ14" i="7" s="1"/>
  <c r="BF13" i="7"/>
  <c r="BH13" i="7" s="1"/>
  <c r="BI13" i="7" s="1"/>
  <c r="BJ13" i="7" s="1"/>
  <c r="BF11" i="7"/>
  <c r="BH11" i="7" s="1"/>
  <c r="BI11" i="7" s="1"/>
  <c r="BJ11" i="7" s="1"/>
  <c r="BH10" i="7"/>
  <c r="BI10" i="7" s="1"/>
  <c r="BJ10" i="7" s="1"/>
  <c r="AW22" i="7"/>
  <c r="AY22" i="7" s="1"/>
  <c r="AZ22" i="7" s="1"/>
  <c r="BA22" i="7" s="1"/>
  <c r="AW21" i="7"/>
  <c r="AY21" i="7" s="1"/>
  <c r="AZ21" i="7" s="1"/>
  <c r="BA21" i="7" s="1"/>
  <c r="AW20" i="7"/>
  <c r="AY20" i="7" s="1"/>
  <c r="AZ20" i="7" s="1"/>
  <c r="BA20" i="7" s="1"/>
  <c r="AW19" i="7"/>
  <c r="AY19" i="7" s="1"/>
  <c r="AZ19" i="7" s="1"/>
  <c r="BA19" i="7" s="1"/>
  <c r="AW18" i="7"/>
  <c r="AY18" i="7" s="1"/>
  <c r="AZ18" i="7" s="1"/>
  <c r="BA18" i="7" s="1"/>
  <c r="AW17" i="7"/>
  <c r="AY17" i="7" s="1"/>
  <c r="AZ17" i="7" s="1"/>
  <c r="BA17" i="7" s="1"/>
  <c r="AY15" i="7"/>
  <c r="AZ15" i="7" s="1"/>
  <c r="BA15" i="7" s="1"/>
  <c r="AW14" i="7"/>
  <c r="AY14" i="7" s="1"/>
  <c r="AZ14" i="7" s="1"/>
  <c r="BA14" i="7" s="1"/>
  <c r="AW13" i="7"/>
  <c r="AY13" i="7" s="1"/>
  <c r="AZ13" i="7" s="1"/>
  <c r="BA13" i="7" s="1"/>
  <c r="AW11" i="7"/>
  <c r="AY11" i="7" s="1"/>
  <c r="AZ11" i="7" s="1"/>
  <c r="BA11" i="7" s="1"/>
  <c r="AY10" i="7"/>
  <c r="AZ10" i="7" s="1"/>
  <c r="BA10" i="7" s="1"/>
  <c r="AN22" i="7"/>
  <c r="AP22" i="7" s="1"/>
  <c r="AQ22" i="7" s="1"/>
  <c r="AR22" i="7" s="1"/>
  <c r="AN21" i="7"/>
  <c r="AP21" i="7" s="1"/>
  <c r="AQ21" i="7" s="1"/>
  <c r="AR21" i="7" s="1"/>
  <c r="AN20" i="7"/>
  <c r="AP20" i="7" s="1"/>
  <c r="AQ20" i="7" s="1"/>
  <c r="AR20" i="7" s="1"/>
  <c r="AN19" i="7"/>
  <c r="AP19" i="7" s="1"/>
  <c r="AQ19" i="7" s="1"/>
  <c r="AR19" i="7" s="1"/>
  <c r="AN18" i="7"/>
  <c r="AP18" i="7" s="1"/>
  <c r="AQ18" i="7" s="1"/>
  <c r="AR18" i="7" s="1"/>
  <c r="AN17" i="7"/>
  <c r="AP17" i="7" s="1"/>
  <c r="AQ17" i="7" s="1"/>
  <c r="AR17" i="7" s="1"/>
  <c r="AN14" i="7"/>
  <c r="AP14" i="7" s="1"/>
  <c r="AQ14" i="7" s="1"/>
  <c r="AR14" i="7" s="1"/>
  <c r="AN13" i="7"/>
  <c r="AP13" i="7" s="1"/>
  <c r="AQ13" i="7" s="1"/>
  <c r="AR13" i="7" s="1"/>
  <c r="AN11" i="7"/>
  <c r="AP11" i="7" s="1"/>
  <c r="AQ11" i="7" s="1"/>
  <c r="AR11" i="7" s="1"/>
  <c r="AN10" i="7"/>
  <c r="AP10" i="7" s="1"/>
  <c r="AQ10" i="7" s="1"/>
  <c r="AR10" i="7" s="1"/>
  <c r="AE22" i="7"/>
  <c r="AG22" i="7" s="1"/>
  <c r="AH22" i="7" s="1"/>
  <c r="AI22" i="7" s="1"/>
  <c r="AE21" i="7"/>
  <c r="AG21" i="7" s="1"/>
  <c r="AH21" i="7" s="1"/>
  <c r="AI21" i="7" s="1"/>
  <c r="AE20" i="7"/>
  <c r="AG20" i="7" s="1"/>
  <c r="AH20" i="7" s="1"/>
  <c r="AI20" i="7" s="1"/>
  <c r="AE19" i="7"/>
  <c r="AG19" i="7" s="1"/>
  <c r="AH19" i="7" s="1"/>
  <c r="AI19" i="7" s="1"/>
  <c r="AE18" i="7"/>
  <c r="AG18" i="7" s="1"/>
  <c r="AH18" i="7" s="1"/>
  <c r="AI18" i="7" s="1"/>
  <c r="AE17" i="7"/>
  <c r="AG17" i="7" s="1"/>
  <c r="AH17" i="7" s="1"/>
  <c r="AI17" i="7" s="1"/>
  <c r="AE16" i="7"/>
  <c r="AG16" i="7" s="1"/>
  <c r="AH16" i="7" s="1"/>
  <c r="AI16" i="7" s="1"/>
  <c r="AE15" i="7"/>
  <c r="AG15" i="7" s="1"/>
  <c r="AH15" i="7" s="1"/>
  <c r="AI15" i="7" s="1"/>
  <c r="AE11" i="7"/>
  <c r="AG11" i="7" s="1"/>
  <c r="AH11" i="7" s="1"/>
  <c r="AI11" i="7" s="1"/>
  <c r="AG10" i="7"/>
  <c r="AH10" i="7" s="1"/>
  <c r="AI10" i="7" s="1"/>
  <c r="V22" i="7"/>
  <c r="X22" i="7" s="1"/>
  <c r="Y22" i="7" s="1"/>
  <c r="Z22" i="7" s="1"/>
  <c r="V21" i="7"/>
  <c r="X21" i="7" s="1"/>
  <c r="Y21" i="7" s="1"/>
  <c r="Z21" i="7" s="1"/>
  <c r="V20" i="7"/>
  <c r="X20" i="7" s="1"/>
  <c r="Y20" i="7" s="1"/>
  <c r="Z20" i="7" s="1"/>
  <c r="V19" i="7"/>
  <c r="X19" i="7" s="1"/>
  <c r="Y19" i="7" s="1"/>
  <c r="Z19" i="7" s="1"/>
  <c r="V18" i="7"/>
  <c r="X18" i="7" s="1"/>
  <c r="Y18" i="7" s="1"/>
  <c r="Z18" i="7" s="1"/>
  <c r="V17" i="7"/>
  <c r="X17" i="7" s="1"/>
  <c r="Y17" i="7" s="1"/>
  <c r="Z17" i="7" s="1"/>
  <c r="V16" i="7"/>
  <c r="X16" i="7" s="1"/>
  <c r="Y16" i="7" s="1"/>
  <c r="Z16" i="7" s="1"/>
  <c r="V15" i="7"/>
  <c r="X15" i="7" s="1"/>
  <c r="Y15" i="7" s="1"/>
  <c r="Z15" i="7" s="1"/>
  <c r="V14" i="7"/>
  <c r="X14" i="7" s="1"/>
  <c r="Y14" i="7" s="1"/>
  <c r="Z14" i="7" s="1"/>
  <c r="V13" i="7"/>
  <c r="X13" i="7" s="1"/>
  <c r="Y13" i="7" s="1"/>
  <c r="Z13" i="7" s="1"/>
  <c r="V11" i="7"/>
  <c r="X11" i="7" s="1"/>
  <c r="Y11" i="7" s="1"/>
  <c r="Z11" i="7" s="1"/>
  <c r="X10" i="7"/>
  <c r="Y10" i="7" s="1"/>
  <c r="Z10" i="7" s="1"/>
  <c r="M22" i="7"/>
  <c r="O22" i="7" s="1"/>
  <c r="P22" i="7" s="1"/>
  <c r="Q22" i="7" s="1"/>
  <c r="M21" i="7"/>
  <c r="O21" i="7" s="1"/>
  <c r="P21" i="7" s="1"/>
  <c r="Q21" i="7" s="1"/>
  <c r="M20" i="7"/>
  <c r="O20" i="7" s="1"/>
  <c r="P20" i="7" s="1"/>
  <c r="Q20" i="7" s="1"/>
  <c r="M19" i="7"/>
  <c r="O19" i="7" s="1"/>
  <c r="P19" i="7" s="1"/>
  <c r="Q19" i="7" s="1"/>
  <c r="M18" i="7"/>
  <c r="O18" i="7" s="1"/>
  <c r="P18" i="7" s="1"/>
  <c r="Q18" i="7" s="1"/>
  <c r="M17" i="7"/>
  <c r="O17" i="7" s="1"/>
  <c r="P17" i="7" s="1"/>
  <c r="Q17" i="7" s="1"/>
  <c r="O15" i="7"/>
  <c r="P15" i="7" s="1"/>
  <c r="Q15" i="7" s="1"/>
  <c r="M14" i="7"/>
  <c r="O14" i="7" s="1"/>
  <c r="P14" i="7" s="1"/>
  <c r="Q14" i="7" s="1"/>
  <c r="M13" i="7"/>
  <c r="O13" i="7" s="1"/>
  <c r="P13" i="7" s="1"/>
  <c r="Q13" i="7" s="1"/>
  <c r="M11" i="7"/>
  <c r="O11" i="7" s="1"/>
  <c r="P11" i="7" s="1"/>
  <c r="Q11" i="7" s="1"/>
  <c r="M10" i="7"/>
  <c r="O10" i="7" s="1"/>
  <c r="P10" i="7" s="1"/>
  <c r="Q10" i="7" s="1"/>
  <c r="D22" i="7"/>
  <c r="F22" i="7" s="1"/>
  <c r="G22" i="7" s="1"/>
  <c r="H22" i="7" s="1"/>
  <c r="D21" i="7"/>
  <c r="F21" i="7" s="1"/>
  <c r="G21" i="7" s="1"/>
  <c r="H21" i="7" s="1"/>
  <c r="D20" i="7"/>
  <c r="F20" i="7" s="1"/>
  <c r="G20" i="7" s="1"/>
  <c r="H20" i="7" s="1"/>
  <c r="D19" i="7"/>
  <c r="F19" i="7" s="1"/>
  <c r="G19" i="7" s="1"/>
  <c r="H19" i="7" s="1"/>
  <c r="D18" i="7"/>
  <c r="F18" i="7" s="1"/>
  <c r="G18" i="7" s="1"/>
  <c r="H18" i="7" s="1"/>
  <c r="D17" i="7"/>
  <c r="F17" i="7" s="1"/>
  <c r="G17" i="7" s="1"/>
  <c r="H17" i="7" s="1"/>
  <c r="D16" i="7"/>
  <c r="F16" i="7" s="1"/>
  <c r="G16" i="7" s="1"/>
  <c r="H16" i="7" s="1"/>
  <c r="D15" i="7"/>
  <c r="F15" i="7" s="1"/>
  <c r="G15" i="7" s="1"/>
  <c r="H15" i="7" s="1"/>
  <c r="D14" i="7"/>
  <c r="F14" i="7" s="1"/>
  <c r="G14" i="7" s="1"/>
  <c r="H14" i="7" s="1"/>
  <c r="D13" i="7"/>
  <c r="F13" i="7" s="1"/>
  <c r="G13" i="7" s="1"/>
  <c r="H13" i="7" s="1"/>
  <c r="D11" i="7"/>
  <c r="F11" i="7" s="1"/>
  <c r="G11" i="7" s="1"/>
  <c r="H11" i="7" s="1"/>
</calcChain>
</file>

<file path=xl/sharedStrings.xml><?xml version="1.0" encoding="utf-8"?>
<sst xmlns="http://schemas.openxmlformats.org/spreadsheetml/2006/main" count="524" uniqueCount="234">
  <si>
    <t>CONTROLE KM</t>
  </si>
  <si>
    <t xml:space="preserve">DATA </t>
  </si>
  <si>
    <t>KM UTIL</t>
  </si>
  <si>
    <t>ARLEN</t>
  </si>
  <si>
    <t>GOL - QXQ6C10</t>
  </si>
  <si>
    <t>GOL - RGD6H42</t>
  </si>
  <si>
    <t>KM ANT</t>
  </si>
  <si>
    <t>CLAUDIO</t>
  </si>
  <si>
    <t>DIAS</t>
  </si>
  <si>
    <t>GOL - RNW6H20</t>
  </si>
  <si>
    <t>FROTA</t>
  </si>
  <si>
    <t>QXQ6C10</t>
  </si>
  <si>
    <t>RGD6H42</t>
  </si>
  <si>
    <t>RMJ6H51</t>
  </si>
  <si>
    <t>RMJ6H53</t>
  </si>
  <si>
    <t>RNW6C82</t>
  </si>
  <si>
    <t>TRACKER</t>
  </si>
  <si>
    <t>RFR0B51</t>
  </si>
  <si>
    <t>RNA0F61</t>
  </si>
  <si>
    <t>RNA5G71</t>
  </si>
  <si>
    <t>9BWAG45U5NT037950</t>
  </si>
  <si>
    <t>9BWAG45U9NT038745</t>
  </si>
  <si>
    <t>CHASSI</t>
  </si>
  <si>
    <t>CH.RES</t>
  </si>
  <si>
    <t>9BWAG45U7MT009243</t>
  </si>
  <si>
    <t>9BWAG45U8MT091726</t>
  </si>
  <si>
    <t>9BWAG45U4MT107226</t>
  </si>
  <si>
    <t>9BWAG45U0NT076798</t>
  </si>
  <si>
    <t>SAMUEL</t>
  </si>
  <si>
    <t>9BWAG45U4MT107212</t>
  </si>
  <si>
    <t>9BHCP51AANP318895</t>
  </si>
  <si>
    <t>MD/DIAS</t>
  </si>
  <si>
    <t>MD/ MES</t>
  </si>
  <si>
    <t>GOL - RNA0F61</t>
  </si>
  <si>
    <t>KM</t>
  </si>
  <si>
    <t>GOL - RNA5G71</t>
  </si>
  <si>
    <t>GOL - RNW6C82</t>
  </si>
  <si>
    <t>5.000 KM   -   28/12/2023</t>
  </si>
  <si>
    <t>5.000 KM   -   26/01/2024</t>
  </si>
  <si>
    <t>AQUISICAO</t>
  </si>
  <si>
    <t>SDS8J24</t>
  </si>
  <si>
    <t>9BWDG45U8PT048358</t>
  </si>
  <si>
    <t>VOYAGE - SDS8J24</t>
  </si>
  <si>
    <t>EMERSON</t>
  </si>
  <si>
    <t>SEB9H09</t>
  </si>
  <si>
    <t>9BWDG45U2PT096924</t>
  </si>
  <si>
    <t>VOYAGE - SEB9H09</t>
  </si>
  <si>
    <t>GOL 20/21</t>
  </si>
  <si>
    <t>GOL 21/22</t>
  </si>
  <si>
    <t>GOL 21/21</t>
  </si>
  <si>
    <t>VOYAGE 22/23</t>
  </si>
  <si>
    <t>RUO7G03</t>
  </si>
  <si>
    <t>9BWAG45U7PT040397</t>
  </si>
  <si>
    <t>GOL 22/23</t>
  </si>
  <si>
    <t>RVZ9J95</t>
  </si>
  <si>
    <t>9BHCP41BBPP403792</t>
  </si>
  <si>
    <t>WESTERLEI</t>
  </si>
  <si>
    <t>5.000 KM - 22/09/24</t>
  </si>
  <si>
    <t>GOL - RUO7G03</t>
  </si>
  <si>
    <t>RANGEL</t>
  </si>
  <si>
    <t>VEICULO</t>
  </si>
  <si>
    <t>PLACA</t>
  </si>
  <si>
    <t xml:space="preserve">5.000 KM  </t>
  </si>
  <si>
    <t xml:space="preserve">5.000 KM </t>
  </si>
  <si>
    <t>JAN</t>
  </si>
  <si>
    <t>---------</t>
  </si>
  <si>
    <t>VALOR</t>
  </si>
  <si>
    <t>Rastream</t>
  </si>
  <si>
    <t>WELINGTON</t>
  </si>
  <si>
    <t>MD/DIA</t>
  </si>
  <si>
    <t>KM UTILIZ</t>
  </si>
  <si>
    <t>GLADSTON</t>
  </si>
  <si>
    <t>-------</t>
  </si>
  <si>
    <t xml:space="preserve">GOL - RMJ6H53 </t>
  </si>
  <si>
    <t>ARLEN - 28/07/2023</t>
  </si>
  <si>
    <t>49.853 km  27/07/2023</t>
  </si>
  <si>
    <t>55.678 km 19/08/2023</t>
  </si>
  <si>
    <t>54.289 km. 08/11/2023</t>
  </si>
  <si>
    <t>WELINGTON. - 13/01/2025</t>
  </si>
  <si>
    <t>57.887 km  07/12/2023</t>
  </si>
  <si>
    <t>GLADSTON. -  16/01/2024</t>
  </si>
  <si>
    <t>32.258 km  15/01/2024</t>
  </si>
  <si>
    <t>75.552 km   22/12/2023</t>
  </si>
  <si>
    <t>RONILDO</t>
  </si>
  <si>
    <t>SH06B25</t>
  </si>
  <si>
    <t>MANUTENCAO</t>
  </si>
  <si>
    <t>100.000 odometro / 50.000 rodados</t>
  </si>
  <si>
    <t xml:space="preserve">** oleo freio </t>
  </si>
  <si>
    <t>** oleo caixa</t>
  </si>
  <si>
    <t>** velas</t>
  </si>
  <si>
    <t>RONILDO - 19/02/2025</t>
  </si>
  <si>
    <t>113.000 odometro / 59.000 rodados</t>
  </si>
  <si>
    <t>** correia dentada trocada</t>
  </si>
  <si>
    <t>** oleo de freio</t>
  </si>
  <si>
    <t>** oleo da caixa</t>
  </si>
  <si>
    <t>107.000 odometro / 75.000 rodados</t>
  </si>
  <si>
    <t>106.000 odometro / 31.000 rodados</t>
  </si>
  <si>
    <t>EMERSON - 14/02/25</t>
  </si>
  <si>
    <t>Emerson</t>
  </si>
  <si>
    <t>WESTERLEI - 22/09/24</t>
  </si>
  <si>
    <t>LUCIANO</t>
  </si>
  <si>
    <t>RENAVAN</t>
  </si>
  <si>
    <t>MTR (10)</t>
  </si>
  <si>
    <t>SDY0E60</t>
  </si>
  <si>
    <t>9BWDG45U5PT074898</t>
  </si>
  <si>
    <t>s</t>
  </si>
  <si>
    <t>??</t>
  </si>
  <si>
    <t>VOYAGE SDY0E60</t>
  </si>
  <si>
    <t>31/05 noite</t>
  </si>
  <si>
    <t>20/6/25 a 20/12/26</t>
  </si>
  <si>
    <t>REM5J11</t>
  </si>
  <si>
    <t>9BWDG45U6NT027778</t>
  </si>
  <si>
    <r>
      <rPr>
        <sz val="11"/>
        <rFont val="Calibri (Corpo)"/>
      </rPr>
      <t>mai.25 a mai.27</t>
    </r>
    <r>
      <rPr>
        <sz val="10"/>
        <rFont val="Calibri"/>
        <family val="2"/>
        <scheme val="minor"/>
      </rPr>
      <t xml:space="preserve"> Pedrinho Baterias</t>
    </r>
  </si>
  <si>
    <r>
      <rPr>
        <sz val="11"/>
        <rFont val="Calibri (Corpo)"/>
      </rPr>
      <t>abr.25 a abr.27</t>
    </r>
    <r>
      <rPr>
        <sz val="10"/>
        <rFont val="Calibri"/>
        <family val="2"/>
        <scheme val="minor"/>
      </rPr>
      <t xml:space="preserve"> Pedrinho baterias</t>
    </r>
  </si>
  <si>
    <r>
      <rPr>
        <sz val="11"/>
        <rFont val="Calibri (Corpo)"/>
      </rPr>
      <t>jan.25 a abr.26</t>
    </r>
    <r>
      <rPr>
        <sz val="10"/>
        <rFont val="Calibri"/>
        <family val="2"/>
        <scheme val="minor"/>
      </rPr>
      <t xml:space="preserve"> Pedrinho baterias</t>
    </r>
  </si>
  <si>
    <t>ROBERTO</t>
  </si>
  <si>
    <t>VOYAGE 21/22</t>
  </si>
  <si>
    <t>9BD2651PAR9236086</t>
  </si>
  <si>
    <t>FIORINO 23/24</t>
  </si>
  <si>
    <t>JAIRO</t>
  </si>
  <si>
    <t>12/7/25 a 12/01/27</t>
  </si>
  <si>
    <t>apartir instalacao</t>
  </si>
  <si>
    <t>jul.25 a           Corujao Baterias</t>
  </si>
  <si>
    <t>------------</t>
  </si>
  <si>
    <t>ALVARO - 07/06/2025</t>
  </si>
  <si>
    <t xml:space="preserve">GOL - RMJ6H51 </t>
  </si>
  <si>
    <t>JOAN - 8/8/25</t>
  </si>
  <si>
    <t>MANUTENCAO 100.000 odometro / 50.000 rodados</t>
  </si>
  <si>
    <t>alvaro</t>
  </si>
  <si>
    <t>7/8 MANUTENCAO 123.000 odometro /  65.000 rodados</t>
  </si>
  <si>
    <t>123.000 odometro /  /  65.000 rodados</t>
  </si>
  <si>
    <t xml:space="preserve">LUCIANO </t>
  </si>
  <si>
    <t>luciano</t>
  </si>
  <si>
    <t>gladston</t>
  </si>
  <si>
    <t>MANUTENCAO 107.000 odometro /  75.000 rodados</t>
  </si>
  <si>
    <t>MANUTENCAO 106.000 odometro /  31.000 rodados</t>
  </si>
  <si>
    <t>VOYAGE REM5J11</t>
  </si>
  <si>
    <t>FIORINO SHO6B25</t>
  </si>
  <si>
    <t>Troca Bateria</t>
  </si>
  <si>
    <t>RICARDO</t>
  </si>
  <si>
    <t>FFY4F12</t>
  </si>
  <si>
    <t>9BWDG45U3PT013596</t>
  </si>
  <si>
    <t>RVA0A96</t>
  </si>
  <si>
    <t>9BWAG45U9PT041373</t>
  </si>
  <si>
    <t>24/10/25 a 24/04/27</t>
  </si>
  <si>
    <t>ago.25 a ago.26 Pedrinho Baterias</t>
  </si>
  <si>
    <t>LUCAS</t>
  </si>
  <si>
    <t>RUJ3I28</t>
  </si>
  <si>
    <t>9BWAG45U7PT019632</t>
  </si>
  <si>
    <t>9BWDG45U9NT044168</t>
  </si>
  <si>
    <t>RNB9J66</t>
  </si>
  <si>
    <t>18/11/25 a 18/05/27</t>
  </si>
  <si>
    <t>MAYCON</t>
  </si>
  <si>
    <t>DOUGLAS</t>
  </si>
  <si>
    <r>
      <rPr>
        <sz val="11"/>
        <rFont val="Calibri (Corpo)"/>
      </rPr>
      <t>dez.25 a dez.27</t>
    </r>
    <r>
      <rPr>
        <sz val="10"/>
        <rFont val="Calibri"/>
        <family val="2"/>
        <scheme val="minor"/>
      </rPr>
      <t xml:space="preserve"> Pedrinho baterias</t>
    </r>
  </si>
  <si>
    <t>FELIPE</t>
  </si>
  <si>
    <t>ALVARO</t>
  </si>
  <si>
    <t>NORONHA</t>
  </si>
  <si>
    <t>CASSIANO</t>
  </si>
  <si>
    <t xml:space="preserve">EMERSON 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</si>
  <si>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</si>
  <si>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</si>
  <si>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</si>
  <si>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</si>
  <si>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</si>
  <si>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</si>
  <si>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</si>
  <si>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</si>
  <si>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</si>
  <si>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</si>
  <si>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</si>
  <si>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</si>
  <si>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</si>
  <si>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</si>
  <si>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</si>
  <si>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</si>
  <si>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</si>
  <si>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SANDRO</t>
  </si>
  <si>
    <t>JOAN</t>
  </si>
  <si>
    <t xml:space="preserve">ALVARO </t>
  </si>
  <si>
    <t>17/12/25 a17/06/27</t>
  </si>
  <si>
    <t>01/07/25 a 01/01/27</t>
  </si>
  <si>
    <t>22/01/26 a 24/07/27</t>
  </si>
  <si>
    <t>23/01/26 a 24/07/27</t>
  </si>
  <si>
    <t>fev.26 a fev.28  Pedrinho Baterias</t>
  </si>
  <si>
    <t>DANIEL</t>
  </si>
  <si>
    <t>RBI2H54</t>
  </si>
  <si>
    <t xml:space="preserve">parado </t>
  </si>
  <si>
    <t>9BWAG45U3PT008255</t>
  </si>
  <si>
    <t>MATEUS</t>
  </si>
  <si>
    <t>MAICON</t>
  </si>
  <si>
    <t>SHE3I82</t>
  </si>
  <si>
    <t>9BWDG45UXPT104171</t>
  </si>
  <si>
    <t>n</t>
  </si>
  <si>
    <t>abr.26 a abr.28 Pedrinho baterias</t>
  </si>
  <si>
    <t>JEFERSON NUNES</t>
  </si>
  <si>
    <t>JEFERSON MAGELA</t>
  </si>
  <si>
    <t>16/04/26 a 16/04/28 Diniz Bat</t>
  </si>
  <si>
    <t xml:space="preserve">s </t>
  </si>
  <si>
    <t>18/04/26 a 18/04/28 Diniz Baterias</t>
  </si>
  <si>
    <t>28/04/26 a 28/10/27</t>
  </si>
  <si>
    <t>$ AT 19</t>
  </si>
  <si>
    <t>18.</t>
  </si>
  <si>
    <t>19.</t>
  </si>
  <si>
    <t>JEFERSON</t>
  </si>
  <si>
    <t>HB20 22/23</t>
  </si>
  <si>
    <t>SGE5H96</t>
  </si>
  <si>
    <t>SWH9E89</t>
  </si>
  <si>
    <t>9BWDH6BZ2RP026067</t>
  </si>
  <si>
    <t>9BGEB76H0RB211855</t>
  </si>
  <si>
    <t>VIRTUS 24/24</t>
  </si>
  <si>
    <t>WALISON</t>
  </si>
  <si>
    <t>Prov Jeferson MAGELA</t>
  </si>
  <si>
    <t>EDUARDO</t>
  </si>
  <si>
    <t>parado</t>
  </si>
  <si>
    <r>
      <rPr>
        <sz val="12"/>
        <color rgb="FFFF0000"/>
        <rFont val="Calibri (Corpo)"/>
      </rPr>
      <t xml:space="preserve">parado </t>
    </r>
    <r>
      <rPr>
        <sz val="12"/>
        <rFont val="Calibri"/>
        <family val="2"/>
        <scheme val="minor"/>
      </rPr>
      <t xml:space="preserve">MATEUS </t>
    </r>
    <r>
      <rPr>
        <sz val="12"/>
        <color rgb="FFFF0000"/>
        <rFont val="Calibri (Corpo)"/>
      </rPr>
      <t>aguarda seguro 3*</t>
    </r>
  </si>
  <si>
    <t>DATA</t>
  </si>
  <si>
    <t>Jeferson Magela</t>
  </si>
  <si>
    <t>Motorista</t>
  </si>
  <si>
    <t>EVENTO</t>
  </si>
  <si>
    <t>Terceiro</t>
  </si>
  <si>
    <t>Maicon</t>
  </si>
  <si>
    <t>Lucas / Daniel</t>
  </si>
  <si>
    <t>Associado</t>
  </si>
  <si>
    <t>Joan</t>
  </si>
  <si>
    <t>Gladston</t>
  </si>
  <si>
    <t>Arlen</t>
  </si>
  <si>
    <t>Samuel</t>
  </si>
  <si>
    <t>ELIO</t>
  </si>
  <si>
    <t>s/ aux mrt</t>
  </si>
  <si>
    <t>JEFERSON PAIVA</t>
  </si>
  <si>
    <r>
      <rPr>
        <sz val="12"/>
        <color rgb="FFFF0000"/>
        <rFont val="Calibri (Corpo)"/>
      </rPr>
      <t>Parado</t>
    </r>
    <r>
      <rPr>
        <sz val="12"/>
        <rFont val="Calibri"/>
        <family val="2"/>
        <scheme val="minor"/>
      </rPr>
      <t xml:space="preserve"> </t>
    </r>
  </si>
  <si>
    <r>
      <rPr>
        <sz val="11"/>
        <color rgb="FFFF0000"/>
        <rFont val="Calibri (Corpo)"/>
      </rPr>
      <t xml:space="preserve">Parado  </t>
    </r>
    <r>
      <rPr>
        <sz val="11"/>
        <rFont val="Calibri (Corpo)"/>
      </rPr>
      <t xml:space="preserve">J </t>
    </r>
    <r>
      <rPr>
        <sz val="11"/>
        <rFont val="Calibri"/>
        <family val="2"/>
        <scheme val="minor"/>
      </rPr>
      <t>MAGELA</t>
    </r>
  </si>
  <si>
    <t>20/21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</si>
</sst>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;@"/>
    <numFmt numFmtId="165" formatCode="&quot;R$&quot;\ #,##0.00"/>
  </numFmts>
  <fonts count="6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Arial"/>
      <family val="2"/>
    </font>
    <font>
      <sz val="14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i/>
      <sz val="12"/>
      <color theme="1"/>
      <name val="Arial"/>
      <family val="2"/>
    </font>
    <font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name val="Arial"/>
      <family val="2"/>
    </font>
    <font>
      <sz val="10"/>
      <color rgb="FFFF4D5A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4"/>
      <color theme="0" tint="-0.14999847407452621"/>
      <name val="Calibri"/>
      <family val="2"/>
      <scheme val="minor"/>
    </font>
    <font>
      <sz val="14"/>
      <color theme="0" tint="-0.14999847407452621"/>
      <name val="Arial"/>
      <family val="2"/>
    </font>
    <font>
      <sz val="12"/>
      <color theme="0" tint="-0.14999847407452621"/>
      <name val="Calibri"/>
      <family val="2"/>
      <scheme val="minor"/>
    </font>
    <font>
      <sz val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5" tint="0.3999755851924192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name val="Calibri"/>
      <family val="2"/>
      <scheme val="minor"/>
    </font>
    <font>
      <sz val="16"/>
      <color rgb="FF09D4B8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2" tint="-9.9978637043366805E-2"/>
      <name val="Calibri"/>
      <family val="2"/>
      <scheme val="minor"/>
    </font>
    <font>
      <sz val="9"/>
      <name val="Calibri"/>
      <family val="2"/>
      <scheme val="minor"/>
    </font>
    <font>
      <sz val="11"/>
      <name val="Calibri (Corpo)"/>
    </font>
    <font>
      <sz val="8"/>
      <name val="Calibri"/>
      <family val="2"/>
      <scheme val="minor"/>
    </font>
    <font>
      <sz val="12"/>
      <color theme="2" tint="-0.249977111117893"/>
      <name val="Arial"/>
      <family val="2"/>
    </font>
    <font>
      <sz val="14"/>
      <color rgb="FF00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1"/>
      <color theme="8"/>
      <name val="Calibri"/>
      <family val="2"/>
      <scheme val="minor"/>
    </font>
    <font>
      <sz val="12"/>
      <color rgb="FFFF0000"/>
      <name val="Calibri (Corpo)"/>
    </font>
    <font>
      <sz val="12"/>
      <color rgb="FF000000"/>
      <name val="Helvetica"/>
      <family val="2"/>
    </font>
    <font>
      <i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sz val="11"/>
      <color theme="2" tint="-9.9978637043366805E-2"/>
      <name val="Helvetica"/>
      <family val="2"/>
    </font>
    <font>
      <sz val="11"/>
      <color theme="3"/>
      <name val="Calibri"/>
      <family val="2"/>
      <scheme val="minor"/>
    </font>
    <font>
      <sz val="14"/>
      <color theme="3"/>
      <name val="Calibri"/>
      <family val="2"/>
      <scheme val="minor"/>
    </font>
    <font>
      <sz val="11"/>
      <color rgb="FFFF0000"/>
      <name val="Calibri (Corpo)"/>
    </font>
    <font>
      <sz val="12"/>
      <name val="Helvetica"/>
      <family val="2"/>
    </font>
    <font>
      <sz val="12"/>
      <color theme="3"/>
      <name val="Calibri"/>
      <family val="2"/>
      <scheme val="minor"/>
    </font>
    <font>
      <sz val="10"/>
      <color theme="5"/>
      <name val="Calibri"/>
      <family val="2"/>
      <scheme val="minor"/>
    </font>
    <font>
      <sz val="12"/>
      <name val="Calibri (Corpo)"/>
    </font>
    <font>
      <sz val="16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7" tint="-0.249977111117893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rgb="FFBD8F05"/>
        <bgColor rgb="FF000000"/>
      </patternFill>
    </fill>
    <fill>
      <patternFill patternType="solid">
        <fgColor rgb="FFDAA909"/>
        <bgColor rgb="FF000000"/>
      </patternFill>
    </fill>
    <fill>
      <patternFill patternType="solid">
        <fgColor rgb="FFFFBCE7"/>
        <bgColor rgb="FF000000"/>
      </patternFill>
    </fill>
    <fill>
      <patternFill patternType="solid">
        <fgColor rgb="FFFF4D5A"/>
        <bgColor rgb="FF000000"/>
      </patternFill>
    </fill>
    <fill>
      <patternFill patternType="solid">
        <fgColor rgb="FFB895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8" tint="0.39997558519241921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0DAFF"/>
        <bgColor rgb="FF000000"/>
      </patternFill>
    </fill>
    <fill>
      <patternFill patternType="solid">
        <fgColor rgb="FFD0DA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737A"/>
        <bgColor rgb="FF000000"/>
      </patternFill>
    </fill>
    <fill>
      <patternFill patternType="solid">
        <fgColor rgb="FFB895FF"/>
        <bgColor indexed="64"/>
      </patternFill>
    </fill>
    <fill>
      <patternFill patternType="solid">
        <fgColor rgb="FFC4BCFF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7">
    <xf numFmtId="0" fontId="0" fillId="0" borderId="0" xfId="0"/>
    <xf numFmtId="0" fontId="0" fillId="0" borderId="0" xfId="0" applyAlignment="1">
      <alignment horizontal="center"/>
    </xf>
    <xf numFmtId="4" fontId="11" fillId="3" borderId="1" xfId="0" applyNumberFormat="1" applyFont="1" applyFill="1" applyBorder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4" fontId="11" fillId="5" borderId="1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16" fontId="9" fillId="0" borderId="0" xfId="0" applyNumberFormat="1" applyFont="1" applyAlignment="1">
      <alignment horizontal="center"/>
    </xf>
    <xf numFmtId="16" fontId="0" fillId="0" borderId="0" xfId="0" applyNumberFormat="1"/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3" fontId="11" fillId="3" borderId="2" xfId="0" applyNumberFormat="1" applyFont="1" applyFill="1" applyBorder="1" applyAlignment="1">
      <alignment horizontal="center"/>
    </xf>
    <xf numFmtId="3" fontId="11" fillId="3" borderId="7" xfId="0" applyNumberFormat="1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3" fontId="10" fillId="0" borderId="0" xfId="0" applyNumberFormat="1" applyFont="1" applyAlignment="1">
      <alignment horizontal="center"/>
    </xf>
    <xf numFmtId="3" fontId="10" fillId="0" borderId="3" xfId="0" applyNumberFormat="1" applyFont="1" applyBorder="1" applyAlignment="1">
      <alignment horizontal="center"/>
    </xf>
    <xf numFmtId="16" fontId="0" fillId="0" borderId="0" xfId="0" applyNumberFormat="1" applyAlignment="1">
      <alignment horizontal="center"/>
    </xf>
    <xf numFmtId="4" fontId="11" fillId="10" borderId="1" xfId="0" applyNumberFormat="1" applyFont="1" applyFill="1" applyBorder="1" applyAlignment="1">
      <alignment horizontal="center"/>
    </xf>
    <xf numFmtId="3" fontId="11" fillId="10" borderId="2" xfId="0" applyNumberFormat="1" applyFont="1" applyFill="1" applyBorder="1" applyAlignment="1">
      <alignment horizontal="center"/>
    </xf>
    <xf numFmtId="3" fontId="11" fillId="10" borderId="7" xfId="0" applyNumberFormat="1" applyFont="1" applyFill="1" applyBorder="1" applyAlignment="1">
      <alignment horizontal="center"/>
    </xf>
    <xf numFmtId="3" fontId="11" fillId="5" borderId="7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4" fontId="11" fillId="4" borderId="4" xfId="0" applyNumberFormat="1" applyFont="1" applyFill="1" applyBorder="1" applyAlignment="1">
      <alignment horizontal="center"/>
    </xf>
    <xf numFmtId="3" fontId="11" fillId="4" borderId="3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4" fontId="11" fillId="9" borderId="4" xfId="0" applyNumberFormat="1" applyFont="1" applyFill="1" applyBorder="1" applyAlignment="1">
      <alignment horizontal="center"/>
    </xf>
    <xf numFmtId="3" fontId="11" fillId="9" borderId="0" xfId="0" applyNumberFormat="1" applyFont="1" applyFill="1" applyAlignment="1">
      <alignment horizontal="center"/>
    </xf>
    <xf numFmtId="3" fontId="11" fillId="9" borderId="3" xfId="0" applyNumberFormat="1" applyFont="1" applyFill="1" applyBorder="1" applyAlignment="1">
      <alignment horizontal="center"/>
    </xf>
    <xf numFmtId="4" fontId="11" fillId="8" borderId="4" xfId="0" applyNumberFormat="1" applyFont="1" applyFill="1" applyBorder="1" applyAlignment="1">
      <alignment horizontal="center"/>
    </xf>
    <xf numFmtId="3" fontId="11" fillId="8" borderId="0" xfId="0" applyNumberFormat="1" applyFont="1" applyFill="1" applyAlignment="1">
      <alignment horizontal="center"/>
    </xf>
    <xf numFmtId="3" fontId="11" fillId="8" borderId="3" xfId="0" applyNumberFormat="1" applyFont="1" applyFill="1" applyBorder="1" applyAlignment="1">
      <alignment horizontal="center"/>
    </xf>
    <xf numFmtId="4" fontId="11" fillId="7" borderId="4" xfId="0" applyNumberFormat="1" applyFont="1" applyFill="1" applyBorder="1" applyAlignment="1">
      <alignment horizontal="center"/>
    </xf>
    <xf numFmtId="3" fontId="11" fillId="7" borderId="0" xfId="0" applyNumberFormat="1" applyFont="1" applyFill="1" applyAlignment="1">
      <alignment horizontal="center"/>
    </xf>
    <xf numFmtId="3" fontId="11" fillId="7" borderId="3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3" fontId="11" fillId="0" borderId="0" xfId="0" applyNumberFormat="1" applyFont="1" applyAlignment="1">
      <alignment horizontal="center"/>
    </xf>
    <xf numFmtId="17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9" fillId="0" borderId="0" xfId="0" applyFont="1"/>
    <xf numFmtId="0" fontId="7" fillId="0" borderId="0" xfId="0" applyFont="1"/>
    <xf numFmtId="3" fontId="11" fillId="10" borderId="0" xfId="0" applyNumberFormat="1" applyFont="1" applyFill="1" applyAlignment="1">
      <alignment horizontal="center"/>
    </xf>
    <xf numFmtId="4" fontId="11" fillId="13" borderId="4" xfId="0" applyNumberFormat="1" applyFont="1" applyFill="1" applyBorder="1" applyAlignment="1">
      <alignment horizontal="center"/>
    </xf>
    <xf numFmtId="3" fontId="11" fillId="13" borderId="0" xfId="0" applyNumberFormat="1" applyFont="1" applyFill="1" applyAlignment="1">
      <alignment horizontal="center"/>
    </xf>
    <xf numFmtId="3" fontId="11" fillId="13" borderId="3" xfId="0" applyNumberFormat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8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3" fontId="11" fillId="3" borderId="0" xfId="0" applyNumberFormat="1" applyFont="1" applyFill="1" applyAlignment="1">
      <alignment horizontal="center"/>
    </xf>
    <xf numFmtId="3" fontId="11" fillId="5" borderId="0" xfId="0" applyNumberFormat="1" applyFont="1" applyFill="1" applyAlignment="1">
      <alignment horizontal="center"/>
    </xf>
    <xf numFmtId="3" fontId="8" fillId="5" borderId="0" xfId="0" applyNumberFormat="1" applyFont="1" applyFill="1" applyAlignment="1">
      <alignment horizontal="center"/>
    </xf>
    <xf numFmtId="3" fontId="11" fillId="4" borderId="0" xfId="0" applyNumberFormat="1" applyFont="1" applyFill="1" applyAlignment="1">
      <alignment horizontal="center"/>
    </xf>
    <xf numFmtId="3" fontId="8" fillId="9" borderId="0" xfId="0" applyNumberFormat="1" applyFont="1" applyFill="1" applyAlignment="1">
      <alignment horizontal="center"/>
    </xf>
    <xf numFmtId="3" fontId="8" fillId="11" borderId="0" xfId="0" applyNumberFormat="1" applyFont="1" applyFill="1" applyAlignment="1">
      <alignment horizontal="center"/>
    </xf>
    <xf numFmtId="14" fontId="20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0" borderId="0" xfId="0" applyFont="1"/>
    <xf numFmtId="165" fontId="0" fillId="0" borderId="0" xfId="0" applyNumberFormat="1" applyAlignment="1">
      <alignment horizontal="center"/>
    </xf>
    <xf numFmtId="3" fontId="12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16" fontId="12" fillId="0" borderId="0" xfId="0" applyNumberFormat="1" applyFont="1" applyAlignment="1">
      <alignment horizontal="center"/>
    </xf>
    <xf numFmtId="3" fontId="11" fillId="5" borderId="2" xfId="0" applyNumberFormat="1" applyFont="1" applyFill="1" applyBorder="1" applyAlignment="1">
      <alignment horizontal="center"/>
    </xf>
    <xf numFmtId="3" fontId="8" fillId="6" borderId="0" xfId="0" applyNumberFormat="1" applyFont="1" applyFill="1" applyAlignment="1">
      <alignment horizontal="center"/>
    </xf>
    <xf numFmtId="3" fontId="8" fillId="10" borderId="0" xfId="0" applyNumberFormat="1" applyFont="1" applyFill="1" applyAlignment="1">
      <alignment horizontal="center"/>
    </xf>
    <xf numFmtId="3" fontId="8" fillId="8" borderId="0" xfId="0" applyNumberFormat="1" applyFont="1" applyFill="1" applyAlignment="1">
      <alignment horizontal="center"/>
    </xf>
    <xf numFmtId="3" fontId="8" fillId="7" borderId="0" xfId="0" applyNumberFormat="1" applyFont="1" applyFill="1" applyAlignment="1">
      <alignment horizontal="center"/>
    </xf>
    <xf numFmtId="3" fontId="12" fillId="2" borderId="0" xfId="0" applyNumberFormat="1" applyFont="1" applyFill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3" fontId="29" fillId="0" borderId="0" xfId="0" applyNumberFormat="1" applyFont="1" applyAlignment="1">
      <alignment horizontal="center"/>
    </xf>
    <xf numFmtId="0" fontId="28" fillId="0" borderId="0" xfId="0" applyFont="1"/>
    <xf numFmtId="3" fontId="28" fillId="0" borderId="0" xfId="0" applyNumberFormat="1" applyFont="1" applyAlignment="1">
      <alignment horizontal="center"/>
    </xf>
    <xf numFmtId="0" fontId="30" fillId="0" borderId="0" xfId="0" applyFont="1" applyAlignment="1">
      <alignment horizontal="left"/>
    </xf>
    <xf numFmtId="3" fontId="12" fillId="0" borderId="0" xfId="0" applyNumberFormat="1" applyFont="1" applyAlignment="1">
      <alignment horizontal="left"/>
    </xf>
    <xf numFmtId="0" fontId="31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14" fontId="24" fillId="0" borderId="0" xfId="0" applyNumberFormat="1" applyFont="1" applyAlignment="1">
      <alignment horizontal="center"/>
    </xf>
    <xf numFmtId="4" fontId="11" fillId="15" borderId="4" xfId="0" applyNumberFormat="1" applyFont="1" applyFill="1" applyBorder="1" applyAlignment="1">
      <alignment horizontal="center"/>
    </xf>
    <xf numFmtId="3" fontId="11" fillId="15" borderId="0" xfId="0" applyNumberFormat="1" applyFont="1" applyFill="1" applyAlignment="1">
      <alignment horizontal="center"/>
    </xf>
    <xf numFmtId="3" fontId="11" fillId="15" borderId="3" xfId="0" applyNumberFormat="1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4" fontId="11" fillId="16" borderId="4" xfId="0" applyNumberFormat="1" applyFont="1" applyFill="1" applyBorder="1" applyAlignment="1">
      <alignment horizontal="center"/>
    </xf>
    <xf numFmtId="3" fontId="11" fillId="16" borderId="0" xfId="0" applyNumberFormat="1" applyFont="1" applyFill="1" applyAlignment="1">
      <alignment horizontal="center"/>
    </xf>
    <xf numFmtId="3" fontId="11" fillId="16" borderId="3" xfId="0" applyNumberFormat="1" applyFont="1" applyFill="1" applyBorder="1" applyAlignment="1">
      <alignment horizontal="center"/>
    </xf>
    <xf numFmtId="0" fontId="33" fillId="0" borderId="0" xfId="0" applyFont="1"/>
    <xf numFmtId="0" fontId="34" fillId="0" borderId="0" xfId="0" applyFont="1" applyAlignment="1">
      <alignment horizontal="left"/>
    </xf>
    <xf numFmtId="0" fontId="33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7" fillId="0" borderId="0" xfId="0" applyFont="1"/>
    <xf numFmtId="0" fontId="26" fillId="0" borderId="0" xfId="0" quotePrefix="1" applyFont="1" applyAlignment="1">
      <alignment horizontal="center"/>
    </xf>
    <xf numFmtId="0" fontId="6" fillId="0" borderId="0" xfId="0" applyFont="1" applyAlignment="1">
      <alignment horizontal="center"/>
    </xf>
    <xf numFmtId="3" fontId="6" fillId="0" borderId="0" xfId="0" applyNumberFormat="1" applyFont="1" applyAlignment="1">
      <alignment horizontal="center"/>
    </xf>
    <xf numFmtId="0" fontId="6" fillId="0" borderId="0" xfId="0" applyFont="1"/>
    <xf numFmtId="0" fontId="0" fillId="19" borderId="0" xfId="0" applyFill="1"/>
    <xf numFmtId="3" fontId="8" fillId="18" borderId="0" xfId="0" applyNumberFormat="1" applyFont="1" applyFill="1" applyAlignment="1">
      <alignment horizontal="center"/>
    </xf>
    <xf numFmtId="0" fontId="10" fillId="19" borderId="4" xfId="0" applyFont="1" applyFill="1" applyBorder="1" applyAlignment="1">
      <alignment horizontal="center"/>
    </xf>
    <xf numFmtId="3" fontId="10" fillId="19" borderId="0" xfId="0" applyNumberFormat="1" applyFont="1" applyFill="1" applyAlignment="1">
      <alignment horizontal="center"/>
    </xf>
    <xf numFmtId="3" fontId="10" fillId="19" borderId="3" xfId="0" applyNumberFormat="1" applyFont="1" applyFill="1" applyBorder="1" applyAlignment="1">
      <alignment horizontal="center"/>
    </xf>
    <xf numFmtId="3" fontId="11" fillId="18" borderId="0" xfId="0" applyNumberFormat="1" applyFont="1" applyFill="1" applyAlignment="1">
      <alignment horizontal="center"/>
    </xf>
    <xf numFmtId="4" fontId="11" fillId="18" borderId="1" xfId="0" applyNumberFormat="1" applyFont="1" applyFill="1" applyBorder="1" applyAlignment="1">
      <alignment horizontal="center"/>
    </xf>
    <xf numFmtId="3" fontId="11" fillId="18" borderId="2" xfId="0" applyNumberFormat="1" applyFont="1" applyFill="1" applyBorder="1" applyAlignment="1">
      <alignment horizontal="center"/>
    </xf>
    <xf numFmtId="3" fontId="11" fillId="18" borderId="7" xfId="0" applyNumberFormat="1" applyFont="1" applyFill="1" applyBorder="1" applyAlignment="1">
      <alignment horizontal="center"/>
    </xf>
    <xf numFmtId="164" fontId="0" fillId="0" borderId="0" xfId="0" applyNumberFormat="1"/>
    <xf numFmtId="3" fontId="0" fillId="0" borderId="0" xfId="0" applyNumberFormat="1" applyAlignment="1">
      <alignment horizontal="left"/>
    </xf>
    <xf numFmtId="0" fontId="0" fillId="20" borderId="0" xfId="0" applyFill="1"/>
    <xf numFmtId="3" fontId="8" fillId="3" borderId="0" xfId="0" applyNumberFormat="1" applyFont="1" applyFill="1" applyAlignment="1">
      <alignment horizontal="center"/>
    </xf>
    <xf numFmtId="0" fontId="10" fillId="20" borderId="4" xfId="0" applyFont="1" applyFill="1" applyBorder="1" applyAlignment="1">
      <alignment horizontal="center"/>
    </xf>
    <xf numFmtId="3" fontId="10" fillId="20" borderId="0" xfId="0" applyNumberFormat="1" applyFont="1" applyFill="1" applyAlignment="1">
      <alignment horizontal="center"/>
    </xf>
    <xf numFmtId="3" fontId="10" fillId="20" borderId="3" xfId="0" applyNumberFormat="1" applyFont="1" applyFill="1" applyBorder="1" applyAlignment="1">
      <alignment horizontal="center"/>
    </xf>
    <xf numFmtId="0" fontId="8" fillId="21" borderId="0" xfId="0" applyFont="1" applyFill="1" applyAlignment="1">
      <alignment horizontal="center"/>
    </xf>
    <xf numFmtId="0" fontId="11" fillId="21" borderId="0" xfId="0" applyFont="1" applyFill="1" applyAlignment="1">
      <alignment horizontal="center"/>
    </xf>
    <xf numFmtId="4" fontId="11" fillId="21" borderId="1" xfId="0" applyNumberFormat="1" applyFont="1" applyFill="1" applyBorder="1" applyAlignment="1">
      <alignment horizontal="center"/>
    </xf>
    <xf numFmtId="3" fontId="11" fillId="21" borderId="2" xfId="0" applyNumberFormat="1" applyFont="1" applyFill="1" applyBorder="1" applyAlignment="1">
      <alignment horizontal="center"/>
    </xf>
    <xf numFmtId="3" fontId="11" fillId="21" borderId="7" xfId="0" applyNumberFormat="1" applyFont="1" applyFill="1" applyBorder="1" applyAlignment="1">
      <alignment horizontal="center"/>
    </xf>
    <xf numFmtId="3" fontId="11" fillId="21" borderId="0" xfId="0" applyNumberFormat="1" applyFont="1" applyFill="1" applyAlignment="1">
      <alignment horizontal="center"/>
    </xf>
    <xf numFmtId="165" fontId="24" fillId="0" borderId="0" xfId="0" applyNumberFormat="1" applyFont="1" applyAlignment="1">
      <alignment horizontal="center"/>
    </xf>
    <xf numFmtId="0" fontId="15" fillId="0" borderId="0" xfId="0" applyFont="1"/>
    <xf numFmtId="0" fontId="39" fillId="0" borderId="0" xfId="0" applyFont="1" applyAlignment="1">
      <alignment horizontal="center"/>
    </xf>
    <xf numFmtId="0" fontId="25" fillId="0" borderId="12" xfId="0" applyFont="1" applyBorder="1" applyAlignment="1">
      <alignment horizontal="center" vertical="top"/>
    </xf>
    <xf numFmtId="0" fontId="5" fillId="0" borderId="0" xfId="0" applyFont="1" applyAlignment="1">
      <alignment vertical="top"/>
    </xf>
    <xf numFmtId="14" fontId="23" fillId="0" borderId="0" xfId="0" applyNumberFormat="1" applyFont="1" applyAlignment="1">
      <alignment horizontal="center" vertical="top"/>
    </xf>
    <xf numFmtId="0" fontId="23" fillId="0" borderId="0" xfId="0" applyFont="1" applyAlignment="1">
      <alignment horizontal="center" vertical="top"/>
    </xf>
    <xf numFmtId="0" fontId="41" fillId="0" borderId="12" xfId="0" applyFont="1" applyBorder="1" applyAlignment="1">
      <alignment horizontal="center" vertical="top"/>
    </xf>
    <xf numFmtId="0" fontId="20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0" fontId="31" fillId="0" borderId="13" xfId="0" applyFont="1" applyBorder="1" applyAlignment="1">
      <alignment horizontal="center" vertical="top"/>
    </xf>
    <xf numFmtId="14" fontId="5" fillId="0" borderId="14" xfId="0" applyNumberFormat="1" applyFont="1" applyBorder="1" applyAlignment="1">
      <alignment horizontal="center" vertical="top"/>
    </xf>
    <xf numFmtId="0" fontId="31" fillId="0" borderId="14" xfId="0" applyFont="1" applyBorder="1" applyAlignment="1">
      <alignment horizontal="center" vertical="top"/>
    </xf>
    <xf numFmtId="0" fontId="0" fillId="0" borderId="15" xfId="0" applyBorder="1" applyAlignment="1">
      <alignment horizontal="right" vertical="top"/>
    </xf>
    <xf numFmtId="14" fontId="5" fillId="0" borderId="17" xfId="0" applyNumberFormat="1" applyFont="1" applyBorder="1" applyAlignment="1">
      <alignment horizontal="center" vertical="top"/>
    </xf>
    <xf numFmtId="0" fontId="31" fillId="0" borderId="17" xfId="0" applyFont="1" applyBorder="1" applyAlignment="1">
      <alignment horizontal="center" vertical="top"/>
    </xf>
    <xf numFmtId="0" fontId="0" fillId="0" borderId="18" xfId="0" applyBorder="1" applyAlignment="1">
      <alignment horizontal="right" vertical="top"/>
    </xf>
    <xf numFmtId="0" fontId="5" fillId="0" borderId="19" xfId="0" applyFont="1" applyBorder="1" applyAlignment="1">
      <alignment horizontal="center" vertical="top"/>
    </xf>
    <xf numFmtId="14" fontId="5" fillId="0" borderId="0" xfId="0" applyNumberFormat="1" applyFont="1" applyAlignment="1">
      <alignment horizontal="center" vertical="top"/>
    </xf>
    <xf numFmtId="0" fontId="31" fillId="0" borderId="0" xfId="0" applyFont="1" applyAlignment="1">
      <alignment horizontal="center" vertical="top"/>
    </xf>
    <xf numFmtId="0" fontId="0" fillId="0" borderId="20" xfId="0" applyBorder="1" applyAlignment="1">
      <alignment horizontal="right" vertical="top"/>
    </xf>
    <xf numFmtId="0" fontId="5" fillId="0" borderId="21" xfId="0" applyFont="1" applyBorder="1" applyAlignment="1">
      <alignment horizontal="center" vertical="top"/>
    </xf>
    <xf numFmtId="14" fontId="5" fillId="0" borderId="22" xfId="0" applyNumberFormat="1" applyFont="1" applyBorder="1" applyAlignment="1">
      <alignment horizontal="center" vertical="top"/>
    </xf>
    <xf numFmtId="0" fontId="31" fillId="0" borderId="22" xfId="0" applyFont="1" applyBorder="1" applyAlignment="1">
      <alignment horizontal="center" vertical="top"/>
    </xf>
    <xf numFmtId="0" fontId="0" fillId="0" borderId="23" xfId="0" applyBorder="1" applyAlignment="1">
      <alignment horizontal="right" vertical="top"/>
    </xf>
    <xf numFmtId="0" fontId="24" fillId="0" borderId="18" xfId="0" applyFont="1" applyBorder="1" applyAlignment="1">
      <alignment horizontal="right" vertical="top"/>
    </xf>
    <xf numFmtId="0" fontId="24" fillId="0" borderId="23" xfId="0" applyFont="1" applyBorder="1" applyAlignment="1">
      <alignment horizontal="right" vertical="top"/>
    </xf>
    <xf numFmtId="0" fontId="24" fillId="0" borderId="20" xfId="0" applyFont="1" applyBorder="1" applyAlignment="1">
      <alignment horizontal="right" vertical="top"/>
    </xf>
    <xf numFmtId="0" fontId="5" fillId="0" borderId="12" xfId="0" applyFont="1" applyBorder="1" applyAlignment="1">
      <alignment horizontal="center" vertical="top"/>
    </xf>
    <xf numFmtId="0" fontId="4" fillId="0" borderId="0" xfId="0" applyFont="1" applyAlignment="1">
      <alignment vertical="top"/>
    </xf>
    <xf numFmtId="0" fontId="4" fillId="0" borderId="12" xfId="0" applyFont="1" applyBorder="1" applyAlignment="1">
      <alignment horizontal="center" vertical="top"/>
    </xf>
    <xf numFmtId="165" fontId="4" fillId="0" borderId="0" xfId="0" applyNumberFormat="1" applyFont="1" applyAlignment="1">
      <alignment horizontal="center"/>
    </xf>
    <xf numFmtId="165" fontId="4" fillId="0" borderId="14" xfId="0" applyNumberFormat="1" applyFont="1" applyBorder="1" applyAlignment="1">
      <alignment horizontal="center" vertical="top"/>
    </xf>
    <xf numFmtId="165" fontId="4" fillId="0" borderId="17" xfId="0" applyNumberFormat="1" applyFont="1" applyBorder="1" applyAlignment="1">
      <alignment horizontal="center"/>
    </xf>
    <xf numFmtId="0" fontId="4" fillId="0" borderId="22" xfId="0" applyFont="1" applyBorder="1" applyAlignment="1">
      <alignment vertical="top"/>
    </xf>
    <xf numFmtId="165" fontId="4" fillId="0" borderId="0" xfId="0" applyNumberFormat="1" applyFont="1" applyAlignment="1">
      <alignment horizontal="center" vertical="top"/>
    </xf>
    <xf numFmtId="0" fontId="4" fillId="0" borderId="16" xfId="0" applyFont="1" applyBorder="1" applyAlignment="1">
      <alignment horizontal="center" vertical="top"/>
    </xf>
    <xf numFmtId="165" fontId="4" fillId="0" borderId="17" xfId="0" applyNumberFormat="1" applyFont="1" applyBorder="1" applyAlignment="1">
      <alignment horizontal="center" vertical="top"/>
    </xf>
    <xf numFmtId="0" fontId="4" fillId="0" borderId="19" xfId="0" applyFont="1" applyBorder="1" applyAlignment="1">
      <alignment horizontal="center" vertical="top"/>
    </xf>
    <xf numFmtId="0" fontId="4" fillId="0" borderId="21" xfId="0" applyFont="1" applyBorder="1" applyAlignment="1">
      <alignment horizontal="center" vertical="top"/>
    </xf>
    <xf numFmtId="165" fontId="4" fillId="0" borderId="22" xfId="0" applyNumberFormat="1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31" fillId="0" borderId="16" xfId="0" applyFont="1" applyBorder="1" applyAlignment="1">
      <alignment horizontal="center" vertical="top"/>
    </xf>
    <xf numFmtId="14" fontId="31" fillId="0" borderId="17" xfId="0" applyNumberFormat="1" applyFont="1" applyBorder="1" applyAlignment="1">
      <alignment horizontal="center" vertical="top"/>
    </xf>
    <xf numFmtId="0" fontId="31" fillId="0" borderId="21" xfId="0" applyFont="1" applyBorder="1" applyAlignment="1">
      <alignment horizontal="center" vertical="top"/>
    </xf>
    <xf numFmtId="14" fontId="31" fillId="0" borderId="22" xfId="0" applyNumberFormat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top"/>
    </xf>
    <xf numFmtId="0" fontId="42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4" fillId="0" borderId="0" xfId="0" quotePrefix="1" applyFont="1" applyAlignment="1">
      <alignment horizontal="center"/>
    </xf>
    <xf numFmtId="0" fontId="45" fillId="0" borderId="0" xfId="0" applyFont="1"/>
    <xf numFmtId="0" fontId="47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15" fillId="22" borderId="0" xfId="0" applyFont="1" applyFill="1" applyAlignment="1">
      <alignment horizontal="center"/>
    </xf>
    <xf numFmtId="16" fontId="15" fillId="0" borderId="0" xfId="0" applyNumberFormat="1" applyFont="1" applyAlignment="1">
      <alignment horizontal="center"/>
    </xf>
    <xf numFmtId="0" fontId="31" fillId="22" borderId="0" xfId="0" applyFont="1" applyFill="1" applyAlignment="1">
      <alignment horizontal="center"/>
    </xf>
    <xf numFmtId="16" fontId="31" fillId="22" borderId="0" xfId="0" applyNumberFormat="1" applyFont="1" applyFill="1" applyAlignment="1">
      <alignment horizontal="center"/>
    </xf>
    <xf numFmtId="0" fontId="15" fillId="23" borderId="0" xfId="0" applyFont="1" applyFill="1" applyAlignment="1">
      <alignment horizontal="center"/>
    </xf>
    <xf numFmtId="0" fontId="3" fillId="0" borderId="13" xfId="0" applyFont="1" applyBorder="1" applyAlignment="1">
      <alignment vertical="top"/>
    </xf>
    <xf numFmtId="0" fontId="15" fillId="0" borderId="14" xfId="0" applyFont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  <xf numFmtId="0" fontId="5" fillId="0" borderId="21" xfId="0" applyFont="1" applyBorder="1" applyAlignment="1">
      <alignment vertical="top"/>
    </xf>
    <xf numFmtId="0" fontId="5" fillId="0" borderId="22" xfId="0" applyFont="1" applyBorder="1" applyAlignment="1">
      <alignment vertical="top"/>
    </xf>
    <xf numFmtId="0" fontId="9" fillId="0" borderId="0" xfId="0" applyFont="1" applyAlignment="1">
      <alignment vertical="top"/>
    </xf>
    <xf numFmtId="0" fontId="48" fillId="0" borderId="12" xfId="0" applyFont="1" applyBorder="1" applyAlignment="1">
      <alignment horizontal="center" vertical="top"/>
    </xf>
    <xf numFmtId="0" fontId="21" fillId="0" borderId="0" xfId="0" applyFont="1" applyAlignment="1">
      <alignment horizontal="center" vertical="top"/>
    </xf>
    <xf numFmtId="0" fontId="15" fillId="0" borderId="17" xfId="0" applyFont="1" applyBorder="1" applyAlignment="1">
      <alignment horizontal="center" vertical="top"/>
    </xf>
    <xf numFmtId="0" fontId="15" fillId="0" borderId="0" xfId="0" applyFont="1" applyAlignment="1">
      <alignment horizontal="center" vertical="top"/>
    </xf>
    <xf numFmtId="0" fontId="15" fillId="0" borderId="22" xfId="0" applyFont="1" applyBorder="1" applyAlignment="1">
      <alignment horizontal="center" vertical="top"/>
    </xf>
    <xf numFmtId="0" fontId="9" fillId="0" borderId="22" xfId="0" applyFont="1" applyBorder="1" applyAlignment="1">
      <alignment vertical="top"/>
    </xf>
    <xf numFmtId="0" fontId="39" fillId="0" borderId="14" xfId="0" applyFont="1" applyBorder="1" applyAlignment="1">
      <alignment horizontal="center" vertical="top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14" fontId="50" fillId="0" borderId="0" xfId="0" applyNumberFormat="1" applyFont="1" applyAlignment="1">
      <alignment horizontal="center"/>
    </xf>
    <xf numFmtId="165" fontId="50" fillId="0" borderId="0" xfId="0" applyNumberFormat="1" applyFont="1" applyAlignment="1">
      <alignment horizontal="center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23" fillId="0" borderId="0" xfId="0" applyFont="1"/>
    <xf numFmtId="0" fontId="46" fillId="0" borderId="0" xfId="0" applyFont="1" applyAlignment="1">
      <alignment horizontal="center"/>
    </xf>
    <xf numFmtId="0" fontId="31" fillId="0" borderId="0" xfId="0" quotePrefix="1" applyFont="1" applyAlignment="1">
      <alignment horizontal="center"/>
    </xf>
    <xf numFmtId="0" fontId="2" fillId="0" borderId="0" xfId="0" applyFont="1"/>
    <xf numFmtId="0" fontId="5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57" fillId="0" borderId="0" xfId="0" applyNumberFormat="1" applyFont="1" applyAlignment="1">
      <alignment horizontal="center"/>
    </xf>
    <xf numFmtId="14" fontId="0" fillId="0" borderId="17" xfId="0" applyNumberFormat="1" applyBorder="1" applyAlignment="1">
      <alignment horizontal="center" vertical="top"/>
    </xf>
    <xf numFmtId="0" fontId="9" fillId="0" borderId="17" xfId="0" applyFont="1" applyBorder="1" applyAlignment="1">
      <alignment horizontal="center" vertical="top"/>
    </xf>
    <xf numFmtId="0" fontId="5" fillId="0" borderId="17" xfId="0" applyFont="1" applyBorder="1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4" fontId="0" fillId="0" borderId="22" xfId="0" applyNumberFormat="1" applyBorder="1" applyAlignment="1">
      <alignment horizontal="center" vertical="top"/>
    </xf>
    <xf numFmtId="0" fontId="9" fillId="0" borderId="22" xfId="0" applyFont="1" applyBorder="1" applyAlignment="1">
      <alignment horizontal="center" vertical="top"/>
    </xf>
    <xf numFmtId="0" fontId="5" fillId="0" borderId="22" xfId="0" applyFont="1" applyBorder="1" applyAlignment="1">
      <alignment horizontal="center" vertical="top"/>
    </xf>
    <xf numFmtId="14" fontId="31" fillId="0" borderId="14" xfId="0" applyNumberFormat="1" applyFont="1" applyBorder="1" applyAlignment="1">
      <alignment horizontal="center" vertical="top"/>
    </xf>
    <xf numFmtId="165" fontId="31" fillId="0" borderId="14" xfId="0" applyNumberFormat="1" applyFont="1" applyBorder="1" applyAlignment="1">
      <alignment horizontal="center" vertical="top"/>
    </xf>
    <xf numFmtId="0" fontId="24" fillId="0" borderId="15" xfId="0" applyFont="1" applyBorder="1" applyAlignment="1">
      <alignment horizontal="right" vertical="top"/>
    </xf>
    <xf numFmtId="0" fontId="3" fillId="0" borderId="0" xfId="0" applyFont="1" applyAlignment="1">
      <alignment vertical="top"/>
    </xf>
    <xf numFmtId="0" fontId="16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14" fontId="16" fillId="0" borderId="0" xfId="0" applyNumberFormat="1" applyFont="1" applyAlignment="1">
      <alignment horizontal="center"/>
    </xf>
    <xf numFmtId="3" fontId="16" fillId="0" borderId="0" xfId="0" applyNumberFormat="1" applyFont="1" applyAlignment="1">
      <alignment horizontal="center"/>
    </xf>
    <xf numFmtId="4" fontId="16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4" fontId="9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40" fillId="0" borderId="8" xfId="0" applyFont="1" applyBorder="1" applyAlignment="1">
      <alignment horizontal="center" vertical="top"/>
    </xf>
    <xf numFmtId="0" fontId="40" fillId="0" borderId="9" xfId="0" applyFont="1" applyBorder="1" applyAlignment="1">
      <alignment horizontal="center" vertical="top"/>
    </xf>
    <xf numFmtId="0" fontId="8" fillId="18" borderId="5" xfId="0" applyFont="1" applyFill="1" applyBorder="1" applyAlignment="1">
      <alignment horizontal="center"/>
    </xf>
    <xf numFmtId="0" fontId="8" fillId="18" borderId="6" xfId="0" applyFont="1" applyFill="1" applyBorder="1" applyAlignment="1">
      <alignment horizontal="center"/>
    </xf>
    <xf numFmtId="0" fontId="8" fillId="18" borderId="11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8" fillId="18" borderId="4" xfId="0" applyFont="1" applyFill="1" applyBorder="1" applyAlignment="1">
      <alignment horizontal="center"/>
    </xf>
    <xf numFmtId="0" fontId="8" fillId="18" borderId="0" xfId="0" applyFont="1" applyFill="1" applyAlignment="1">
      <alignment horizontal="center"/>
    </xf>
    <xf numFmtId="0" fontId="8" fillId="18" borderId="3" xfId="0" applyFont="1" applyFill="1" applyBorder="1" applyAlignment="1">
      <alignment horizontal="center"/>
    </xf>
    <xf numFmtId="0" fontId="11" fillId="18" borderId="1" xfId="0" applyFont="1" applyFill="1" applyBorder="1" applyAlignment="1">
      <alignment horizontal="center"/>
    </xf>
    <xf numFmtId="0" fontId="11" fillId="18" borderId="2" xfId="0" applyFont="1" applyFill="1" applyBorder="1" applyAlignment="1">
      <alignment horizontal="center"/>
    </xf>
    <xf numFmtId="0" fontId="11" fillId="18" borderId="7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8" fillId="10" borderId="5" xfId="0" applyFont="1" applyFill="1" applyBorder="1" applyAlignment="1">
      <alignment horizontal="center"/>
    </xf>
    <xf numFmtId="0" fontId="8" fillId="10" borderId="6" xfId="0" applyFont="1" applyFill="1" applyBorder="1" applyAlignment="1">
      <alignment horizontal="center"/>
    </xf>
    <xf numFmtId="0" fontId="8" fillId="10" borderId="11" xfId="0" applyFont="1" applyFill="1" applyBorder="1" applyAlignment="1">
      <alignment horizontal="center"/>
    </xf>
    <xf numFmtId="0" fontId="8" fillId="10" borderId="4" xfId="0" applyFont="1" applyFill="1" applyBorder="1" applyAlignment="1">
      <alignment horizontal="center"/>
    </xf>
    <xf numFmtId="0" fontId="8" fillId="10" borderId="0" xfId="0" applyFont="1" applyFill="1" applyAlignment="1">
      <alignment horizontal="center"/>
    </xf>
    <xf numFmtId="0" fontId="8" fillId="10" borderId="3" xfId="0" applyFont="1" applyFill="1" applyBorder="1" applyAlignment="1">
      <alignment horizontal="center"/>
    </xf>
    <xf numFmtId="0" fontId="11" fillId="10" borderId="1" xfId="0" applyFont="1" applyFill="1" applyBorder="1" applyAlignment="1">
      <alignment horizontal="center"/>
    </xf>
    <xf numFmtId="0" fontId="11" fillId="10" borderId="2" xfId="0" applyFont="1" applyFill="1" applyBorder="1" applyAlignment="1">
      <alignment horizontal="center"/>
    </xf>
    <xf numFmtId="0" fontId="11" fillId="10" borderId="7" xfId="0" applyFont="1" applyFill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7" fillId="17" borderId="0" xfId="0" applyFont="1" applyFill="1" applyAlignment="1">
      <alignment horizontal="center"/>
    </xf>
    <xf numFmtId="0" fontId="8" fillId="21" borderId="5" xfId="0" applyFont="1" applyFill="1" applyBorder="1" applyAlignment="1">
      <alignment horizontal="center"/>
    </xf>
    <xf numFmtId="0" fontId="8" fillId="21" borderId="6" xfId="0" applyFont="1" applyFill="1" applyBorder="1" applyAlignment="1">
      <alignment horizontal="center"/>
    </xf>
    <xf numFmtId="0" fontId="8" fillId="21" borderId="11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8" fillId="5" borderId="11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/>
    </xf>
    <xf numFmtId="0" fontId="8" fillId="6" borderId="11" xfId="0" applyFont="1" applyFill="1" applyBorder="1" applyAlignment="1">
      <alignment horizontal="center"/>
    </xf>
    <xf numFmtId="0" fontId="8" fillId="9" borderId="5" xfId="0" applyFont="1" applyFill="1" applyBorder="1" applyAlignment="1">
      <alignment horizontal="center"/>
    </xf>
    <xf numFmtId="0" fontId="8" fillId="9" borderId="6" xfId="0" applyFont="1" applyFill="1" applyBorder="1" applyAlignment="1">
      <alignment horizontal="center"/>
    </xf>
    <xf numFmtId="0" fontId="8" fillId="9" borderId="11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8" borderId="11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8" fillId="7" borderId="6" xfId="0" applyFont="1" applyFill="1" applyBorder="1" applyAlignment="1">
      <alignment horizontal="center"/>
    </xf>
    <xf numFmtId="0" fontId="8" fillId="7" borderId="11" xfId="0" applyFont="1" applyFill="1" applyBorder="1" applyAlignment="1">
      <alignment horizontal="center"/>
    </xf>
    <xf numFmtId="0" fontId="17" fillId="14" borderId="0" xfId="0" applyFont="1" applyFill="1" applyAlignment="1">
      <alignment horizontal="center"/>
    </xf>
    <xf numFmtId="0" fontId="17" fillId="12" borderId="0" xfId="0" applyFont="1" applyFill="1" applyAlignment="1">
      <alignment horizontal="center"/>
    </xf>
    <xf numFmtId="0" fontId="8" fillId="16" borderId="4" xfId="0" applyFont="1" applyFill="1" applyBorder="1" applyAlignment="1">
      <alignment horizontal="center"/>
    </xf>
    <xf numFmtId="0" fontId="8" fillId="16" borderId="0" xfId="0" applyFont="1" applyFill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21" borderId="4" xfId="0" applyFont="1" applyFill="1" applyBorder="1" applyAlignment="1">
      <alignment horizontal="center"/>
    </xf>
    <xf numFmtId="0" fontId="8" fillId="21" borderId="0" xfId="0" applyFont="1" applyFill="1" applyAlignment="1">
      <alignment horizontal="center"/>
    </xf>
    <xf numFmtId="0" fontId="8" fillId="21" borderId="3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8" fillId="11" borderId="0" xfId="0" applyFont="1" applyFill="1" applyAlignment="1">
      <alignment horizontal="center"/>
    </xf>
    <xf numFmtId="0" fontId="8" fillId="8" borderId="4" xfId="0" applyFont="1" applyFill="1" applyBorder="1" applyAlignment="1">
      <alignment horizontal="center"/>
    </xf>
    <xf numFmtId="0" fontId="8" fillId="8" borderId="0" xfId="0" applyFont="1" applyFill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8" fillId="15" borderId="4" xfId="0" applyFont="1" applyFill="1" applyBorder="1" applyAlignment="1">
      <alignment horizontal="center"/>
    </xf>
    <xf numFmtId="0" fontId="8" fillId="15" borderId="0" xfId="0" applyFont="1" applyFill="1" applyAlignment="1">
      <alignment horizontal="center"/>
    </xf>
    <xf numFmtId="0" fontId="8" fillId="15" borderId="3" xfId="0" applyFont="1" applyFill="1" applyBorder="1" applyAlignment="1">
      <alignment horizontal="center"/>
    </xf>
    <xf numFmtId="0" fontId="8" fillId="13" borderId="4" xfId="0" applyFont="1" applyFill="1" applyBorder="1" applyAlignment="1">
      <alignment horizontal="center"/>
    </xf>
    <xf numFmtId="0" fontId="8" fillId="13" borderId="0" xfId="0" applyFont="1" applyFill="1" applyAlignment="1">
      <alignment horizontal="center"/>
    </xf>
    <xf numFmtId="0" fontId="8" fillId="13" borderId="3" xfId="0" applyFont="1" applyFill="1" applyBorder="1" applyAlignment="1">
      <alignment horizontal="center"/>
    </xf>
    <xf numFmtId="0" fontId="0" fillId="17" borderId="0" xfId="0" applyFill="1" applyAlignment="1">
      <alignment horizontal="center"/>
    </xf>
    <xf numFmtId="0" fontId="8" fillId="9" borderId="4" xfId="0" applyFont="1" applyFill="1" applyBorder="1" applyAlignment="1">
      <alignment horizontal="center"/>
    </xf>
    <xf numFmtId="0" fontId="8" fillId="9" borderId="0" xfId="0" applyFont="1" applyFill="1" applyAlignment="1">
      <alignment horizontal="center"/>
    </xf>
    <xf numFmtId="0" fontId="8" fillId="9" borderId="3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12" borderId="0" xfId="0" applyFill="1" applyAlignment="1">
      <alignment horizontal="center"/>
    </xf>
    <xf numFmtId="16" fontId="38" fillId="0" borderId="0" xfId="0" applyNumberFormat="1" applyFont="1" applyAlignment="1">
      <alignment horizontal="center"/>
    </xf>
    <xf numFmtId="0" fontId="11" fillId="16" borderId="1" xfId="0" applyFont="1" applyFill="1" applyBorder="1" applyAlignment="1">
      <alignment horizontal="center"/>
    </xf>
    <xf numFmtId="0" fontId="11" fillId="16" borderId="2" xfId="0" applyFont="1" applyFill="1" applyBorder="1" applyAlignment="1">
      <alignment horizontal="center"/>
    </xf>
    <xf numFmtId="0" fontId="11" fillId="16" borderId="7" xfId="0" applyFont="1" applyFill="1" applyBorder="1" applyAlignment="1">
      <alignment horizontal="center"/>
    </xf>
    <xf numFmtId="0" fontId="11" fillId="21" borderId="1" xfId="0" applyFont="1" applyFill="1" applyBorder="1" applyAlignment="1">
      <alignment horizontal="center"/>
    </xf>
    <xf numFmtId="0" fontId="11" fillId="21" borderId="2" xfId="0" applyFont="1" applyFill="1" applyBorder="1" applyAlignment="1">
      <alignment horizontal="center"/>
    </xf>
    <xf numFmtId="0" fontId="11" fillId="21" borderId="7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/>
    </xf>
    <xf numFmtId="0" fontId="11" fillId="4" borderId="7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11" fillId="9" borderId="2" xfId="0" applyFont="1" applyFill="1" applyBorder="1" applyAlignment="1">
      <alignment horizontal="center"/>
    </xf>
    <xf numFmtId="0" fontId="11" fillId="9" borderId="7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11" fillId="8" borderId="2" xfId="0" applyFont="1" applyFill="1" applyBorder="1" applyAlignment="1">
      <alignment horizontal="center"/>
    </xf>
    <xf numFmtId="0" fontId="11" fillId="8" borderId="7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/>
    </xf>
    <xf numFmtId="0" fontId="11" fillId="7" borderId="7" xfId="0" applyFont="1" applyFill="1" applyBorder="1" applyAlignment="1">
      <alignment horizontal="center"/>
    </xf>
    <xf numFmtId="0" fontId="11" fillId="15" borderId="1" xfId="0" applyFont="1" applyFill="1" applyBorder="1" applyAlignment="1">
      <alignment horizontal="center"/>
    </xf>
    <xf numFmtId="0" fontId="11" fillId="15" borderId="2" xfId="0" applyFont="1" applyFill="1" applyBorder="1" applyAlignment="1">
      <alignment horizontal="center"/>
    </xf>
    <xf numFmtId="0" fontId="11" fillId="15" borderId="7" xfId="0" applyFont="1" applyFill="1" applyBorder="1" applyAlignment="1">
      <alignment horizontal="center"/>
    </xf>
    <xf numFmtId="0" fontId="11" fillId="13" borderId="1" xfId="0" applyFont="1" applyFill="1" applyBorder="1" applyAlignment="1">
      <alignment horizontal="center"/>
    </xf>
    <xf numFmtId="0" fontId="11" fillId="13" borderId="2" xfId="0" applyFont="1" applyFill="1" applyBorder="1" applyAlignment="1">
      <alignment horizontal="center"/>
    </xf>
    <xf numFmtId="0" fontId="11" fillId="13" borderId="7" xfId="0" applyFont="1" applyFill="1" applyBorder="1" applyAlignment="1">
      <alignment horizontal="center"/>
    </xf>
    <xf numFmtId="165" fontId="9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4BCFF"/>
      <color rgb="FFD0DAFF"/>
      <color rgb="FFB895FF"/>
      <color rgb="FF9EFFED"/>
      <color rgb="FFB7FFF1"/>
      <color rgb="FFFF737A"/>
      <color rgb="FF3DA3FC"/>
      <color rgb="FFB5FFF0"/>
      <color rgb="FFFFFF00"/>
      <color rgb="FF457E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4.xml"/><Relationship Id="rId12" Type="http://schemas.openxmlformats.org/officeDocument/2006/relationships/customXml" Target="../ink/ink3.xml"/><Relationship Id="rId1" Type="http://schemas.openxmlformats.org/officeDocument/2006/relationships/customXml" Target="../ink/ink1.xml"/><Relationship Id="rId11" Type="http://schemas.openxmlformats.org/officeDocument/2006/relationships/customXml" Target="../ink/ink2.xml"/><Relationship Id="rId10" Type="http://schemas.openxmlformats.org/officeDocument/2006/relationships/image" Target="../media/image5.png"/><Relationship Id="rId14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256050</xdr:colOff>
      <xdr:row>19</xdr:row>
      <xdr:rowOff>172403</xdr:rowOff>
    </xdr:from>
    <xdr:to>
      <xdr:col>11</xdr:col>
      <xdr:colOff>256410</xdr:colOff>
      <xdr:row>19</xdr:row>
      <xdr:rowOff>172763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1" name="Tinta 10">
              <a:extLst>
                <a:ext uri="{FF2B5EF4-FFF2-40B4-BE49-F238E27FC236}">
                  <a16:creationId xmlns:a16="http://schemas.microsoft.com/office/drawing/2014/main" id="{019D3FDB-4106-B6B8-B5CA-AF356F35A93F}"/>
                </a:ext>
              </a:extLst>
            </xdr14:cNvPr>
            <xdr14:cNvContentPartPr/>
          </xdr14:nvContentPartPr>
          <xdr14:nvPr macro=""/>
          <xdr14:xfrm>
            <a:off x="10828800" y="6448320"/>
            <a:ext cx="360" cy="360"/>
          </xdr14:xfrm>
        </xdr:contentPart>
      </mc:Choice>
      <mc:Fallback xmlns="">
        <xdr:pic>
          <xdr:nvPicPr>
            <xdr:cNvPr id="11" name="Tinta 10">
              <a:extLst>
                <a:ext uri="{FF2B5EF4-FFF2-40B4-BE49-F238E27FC236}">
                  <a16:creationId xmlns:a16="http://schemas.microsoft.com/office/drawing/2014/main" id="{019D3FDB-4106-B6B8-B5CA-AF356F35A93F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819800" y="64396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789210</xdr:colOff>
      <xdr:row>19</xdr:row>
      <xdr:rowOff>53243</xdr:rowOff>
    </xdr:from>
    <xdr:to>
      <xdr:col>11</xdr:col>
      <xdr:colOff>789570</xdr:colOff>
      <xdr:row>19</xdr:row>
      <xdr:rowOff>53603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2" name="Tinta 11">
              <a:extLst>
                <a:ext uri="{FF2B5EF4-FFF2-40B4-BE49-F238E27FC236}">
                  <a16:creationId xmlns:a16="http://schemas.microsoft.com/office/drawing/2014/main" id="{4503642C-6DE9-207F-8A7E-125E3ACCE97C}"/>
                </a:ext>
              </a:extLst>
            </xdr14:cNvPr>
            <xdr14:cNvContentPartPr/>
          </xdr14:nvContentPartPr>
          <xdr14:nvPr macro=""/>
          <xdr14:xfrm>
            <a:off x="11361960" y="6329160"/>
            <a:ext cx="360" cy="360"/>
          </xdr14:xfrm>
        </xdr:contentPart>
      </mc:Choice>
      <mc:Fallback xmlns="">
        <xdr:pic>
          <xdr:nvPicPr>
            <xdr:cNvPr id="12" name="Tinta 11">
              <a:extLst>
                <a:ext uri="{FF2B5EF4-FFF2-40B4-BE49-F238E27FC236}">
                  <a16:creationId xmlns:a16="http://schemas.microsoft.com/office/drawing/2014/main" id="{4503642C-6DE9-207F-8A7E-125E3ACCE97C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1352960" y="63205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627210</xdr:colOff>
      <xdr:row>14</xdr:row>
      <xdr:rowOff>136023</xdr:rowOff>
    </xdr:from>
    <xdr:to>
      <xdr:col>11</xdr:col>
      <xdr:colOff>627570</xdr:colOff>
      <xdr:row>14</xdr:row>
      <xdr:rowOff>136383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3" name="Tinta 12">
              <a:extLst>
                <a:ext uri="{FF2B5EF4-FFF2-40B4-BE49-F238E27FC236}">
                  <a16:creationId xmlns:a16="http://schemas.microsoft.com/office/drawing/2014/main" id="{0D1F65B8-995F-C0D4-D1E6-EBE6C4559928}"/>
                </a:ext>
              </a:extLst>
            </xdr14:cNvPr>
            <xdr14:cNvContentPartPr/>
          </xdr14:nvContentPartPr>
          <xdr14:nvPr macro=""/>
          <xdr14:xfrm>
            <a:off x="11199960" y="4951440"/>
            <a:ext cx="360" cy="360"/>
          </xdr14:xfrm>
        </xdr:contentPart>
      </mc:Choice>
      <mc:Fallback xmlns="">
        <xdr:pic>
          <xdr:nvPicPr>
            <xdr:cNvPr id="13" name="Tinta 12">
              <a:extLst>
                <a:ext uri="{FF2B5EF4-FFF2-40B4-BE49-F238E27FC236}">
                  <a16:creationId xmlns:a16="http://schemas.microsoft.com/office/drawing/2014/main" id="{0D1F65B8-995F-C0D4-D1E6-EBE6C4559928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1190960" y="49424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11</xdr:col>
      <xdr:colOff>627210</xdr:colOff>
      <xdr:row>16</xdr:row>
      <xdr:rowOff>136023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2" name="Tinta 1">
              <a:extLst>
                <a:ext uri="{FF2B5EF4-FFF2-40B4-BE49-F238E27FC236}">
                  <a16:creationId xmlns:a16="http://schemas.microsoft.com/office/drawing/2014/main" id="{C9A93DA5-4B72-ED43-A2CC-9F91C2D1423B}"/>
                </a:ext>
              </a:extLst>
            </xdr14:cNvPr>
            <xdr14:cNvContentPartPr/>
          </xdr14:nvContentPartPr>
          <xdr14:nvPr macro=""/>
          <xdr14:xfrm>
            <a:off x="11199960" y="4951440"/>
            <a:ext cx="360" cy="360"/>
          </xdr14:xfrm>
        </xdr:contentPart>
      </mc:Choice>
      <mc:Fallback xmlns="">
        <xdr:pic>
          <xdr:nvPicPr>
            <xdr:cNvPr id="13" name="Tinta 12">
              <a:extLst>
                <a:ext uri="{FF2B5EF4-FFF2-40B4-BE49-F238E27FC236}">
                  <a16:creationId xmlns:a16="http://schemas.microsoft.com/office/drawing/2014/main" id="{0D1F65B8-995F-C0D4-D1E6-EBE6C4559928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1190960" y="49424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</xdr:col>
      <xdr:colOff>627210</xdr:colOff>
      <xdr:row>19</xdr:row>
      <xdr:rowOff>136023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" name="Tinta 3">
              <a:extLst>
                <a:ext uri="{FF2B5EF4-FFF2-40B4-BE49-F238E27FC236}">
                  <a16:creationId xmlns:a16="http://schemas.microsoft.com/office/drawing/2014/main" id="{BF9445B1-0D1B-5941-8848-E4E7A60E3131}"/>
                </a:ext>
              </a:extLst>
            </xdr14:cNvPr>
            <xdr14:cNvContentPartPr/>
          </xdr14:nvContentPartPr>
          <xdr14:nvPr macro=""/>
          <xdr14:xfrm>
            <a:off x="11199960" y="4951440"/>
            <a:ext cx="360" cy="360"/>
          </xdr14:xfrm>
        </xdr:contentPart>
      </mc:Choice>
      <mc:Fallback xmlns="">
        <xdr:pic>
          <xdr:nvPicPr>
            <xdr:cNvPr id="13" name="Tinta 12">
              <a:extLst>
                <a:ext uri="{FF2B5EF4-FFF2-40B4-BE49-F238E27FC236}">
                  <a16:creationId xmlns:a16="http://schemas.microsoft.com/office/drawing/2014/main" id="{0D1F65B8-995F-C0D4-D1E6-EBE6C4559928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1190960" y="49424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0-21T21:14:37.78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0-21T21:14:38.43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0-21T21:14:38.98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09T22:02:46.33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4T12:27:10.2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8F9BC-E298-724D-B0CA-9955199A7D8C}">
  <dimension ref="A2:O38"/>
  <sheetViews>
    <sheetView tabSelected="1" topLeftCell="A15" zoomScale="120" zoomScaleNormal="120" workbookViewId="0">
      <selection activeCell="B31" sqref="B31"/>
    </sheetView>
  </sheetViews>
  <sheetFormatPr baseColWidth="10" defaultRowHeight="16" x14ac:dyDescent="0.2"/>
  <cols>
    <col min="1" max="1" width="4.33203125" customWidth="1"/>
    <col min="2" max="2" width="12.5" customWidth="1"/>
    <col min="3" max="3" width="15.1640625" customWidth="1"/>
    <col min="4" max="4" width="14" style="208" customWidth="1"/>
    <col min="5" max="5" width="13.6640625" customWidth="1"/>
    <col min="6" max="6" width="13.83203125" customWidth="1"/>
    <col min="7" max="7" width="16.6640625" bestFit="1" customWidth="1"/>
    <col min="8" max="8" width="26.83203125" bestFit="1" customWidth="1"/>
    <col min="9" max="9" width="7.1640625" customWidth="1"/>
    <col min="10" max="10" width="8" customWidth="1"/>
    <col min="11" max="11" width="24.5" bestFit="1" customWidth="1"/>
    <col min="12" max="12" width="17.6640625" style="45" bestFit="1" customWidth="1"/>
    <col min="13" max="13" width="9.33203125" customWidth="1"/>
  </cols>
  <sheetData>
    <row r="2" spans="1:15" ht="18" x14ac:dyDescent="0.2">
      <c r="G2" s="13"/>
      <c r="H2" s="13"/>
    </row>
    <row r="3" spans="1:15" ht="18" x14ac:dyDescent="0.2">
      <c r="G3" s="13"/>
      <c r="H3" s="13"/>
    </row>
    <row r="4" spans="1:15" ht="18" x14ac:dyDescent="0.2">
      <c r="G4" s="13"/>
      <c r="H4" s="13"/>
      <c r="M4" s="94"/>
    </row>
    <row r="5" spans="1:15" ht="21" x14ac:dyDescent="0.25">
      <c r="A5" s="233" t="s">
        <v>10</v>
      </c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94"/>
    </row>
    <row r="6" spans="1:15" x14ac:dyDescent="0.2">
      <c r="B6" s="65" t="s">
        <v>39</v>
      </c>
      <c r="C6" s="64" t="s">
        <v>66</v>
      </c>
      <c r="D6" s="64" t="s">
        <v>60</v>
      </c>
      <c r="E6" s="64" t="s">
        <v>61</v>
      </c>
      <c r="F6" s="64" t="s">
        <v>102</v>
      </c>
      <c r="G6" s="14" t="s">
        <v>101</v>
      </c>
      <c r="H6" s="14" t="s">
        <v>22</v>
      </c>
      <c r="I6" s="64" t="s">
        <v>23</v>
      </c>
      <c r="J6" s="64" t="s">
        <v>201</v>
      </c>
      <c r="K6" s="64" t="s">
        <v>138</v>
      </c>
      <c r="L6" s="64" t="s">
        <v>67</v>
      </c>
      <c r="M6" s="94"/>
    </row>
    <row r="7" spans="1:15" ht="19" x14ac:dyDescent="0.25">
      <c r="B7" s="60"/>
      <c r="C7" s="60"/>
      <c r="D7" s="63"/>
      <c r="E7" s="61"/>
      <c r="F7" s="205"/>
      <c r="G7" s="62"/>
      <c r="H7" s="62"/>
      <c r="I7" s="61"/>
      <c r="J7" s="84"/>
      <c r="K7" s="63"/>
      <c r="L7" s="173"/>
      <c r="M7" s="95"/>
      <c r="N7" s="7"/>
      <c r="O7" s="8"/>
    </row>
    <row r="8" spans="1:15" ht="19" x14ac:dyDescent="0.25">
      <c r="A8" s="76">
        <v>1</v>
      </c>
      <c r="B8" s="43">
        <v>45120</v>
      </c>
      <c r="C8" s="66">
        <v>42000</v>
      </c>
      <c r="D8" s="84" t="s">
        <v>47</v>
      </c>
      <c r="E8" s="197" t="s">
        <v>11</v>
      </c>
      <c r="F8" s="206" t="s">
        <v>214</v>
      </c>
      <c r="G8" s="12">
        <v>1224027695</v>
      </c>
      <c r="H8" s="7" t="s">
        <v>24</v>
      </c>
      <c r="I8" s="15" t="s">
        <v>105</v>
      </c>
      <c r="J8" s="68">
        <v>274</v>
      </c>
      <c r="K8" s="178" t="s">
        <v>197</v>
      </c>
      <c r="L8" s="174" t="s">
        <v>109</v>
      </c>
      <c r="M8" s="96"/>
      <c r="N8" s="7"/>
      <c r="O8" s="9"/>
    </row>
    <row r="9" spans="1:15" ht="19" x14ac:dyDescent="0.25">
      <c r="A9" s="77">
        <v>2</v>
      </c>
      <c r="B9" s="43">
        <v>45131</v>
      </c>
      <c r="C9" s="66">
        <v>38500</v>
      </c>
      <c r="D9" s="84" t="s">
        <v>47</v>
      </c>
      <c r="E9" s="197" t="s">
        <v>12</v>
      </c>
      <c r="F9" s="206" t="s">
        <v>187</v>
      </c>
      <c r="G9" s="7">
        <v>1248177964</v>
      </c>
      <c r="H9" s="7" t="s">
        <v>25</v>
      </c>
      <c r="I9" s="15" t="s">
        <v>198</v>
      </c>
      <c r="J9" s="68">
        <v>274</v>
      </c>
      <c r="K9" s="76" t="s">
        <v>194</v>
      </c>
      <c r="L9" s="174" t="s">
        <v>109</v>
      </c>
      <c r="M9" s="97"/>
      <c r="N9" s="7"/>
      <c r="O9" s="9"/>
    </row>
    <row r="10" spans="1:15" ht="19" x14ac:dyDescent="0.25">
      <c r="A10" s="77">
        <v>3</v>
      </c>
      <c r="B10" s="43">
        <v>45257</v>
      </c>
      <c r="C10" s="66">
        <v>43500</v>
      </c>
      <c r="D10" s="84" t="s">
        <v>49</v>
      </c>
      <c r="E10" s="15" t="s">
        <v>14</v>
      </c>
      <c r="F10" s="84" t="s">
        <v>68</v>
      </c>
      <c r="G10" s="50">
        <v>1253122064</v>
      </c>
      <c r="H10" s="15" t="s">
        <v>29</v>
      </c>
      <c r="I10" s="15" t="s">
        <v>105</v>
      </c>
      <c r="J10" s="68">
        <v>274</v>
      </c>
      <c r="K10" s="76" t="s">
        <v>112</v>
      </c>
      <c r="L10" s="174" t="s">
        <v>109</v>
      </c>
      <c r="M10" s="96"/>
      <c r="N10" s="10"/>
      <c r="O10" s="9"/>
    </row>
    <row r="11" spans="1:15" ht="19" x14ac:dyDescent="0.25">
      <c r="A11" s="77">
        <v>4</v>
      </c>
      <c r="B11" s="43">
        <v>45265</v>
      </c>
      <c r="C11" s="66">
        <v>43500</v>
      </c>
      <c r="D11" s="84" t="s">
        <v>49</v>
      </c>
      <c r="E11" s="183" t="s">
        <v>13</v>
      </c>
      <c r="F11" s="84" t="s">
        <v>152</v>
      </c>
      <c r="G11" s="12">
        <v>1253122269</v>
      </c>
      <c r="H11" s="7" t="s">
        <v>26</v>
      </c>
      <c r="I11" s="179" t="s">
        <v>106</v>
      </c>
      <c r="J11" s="68">
        <v>274</v>
      </c>
      <c r="K11" s="76"/>
      <c r="L11" s="174" t="s">
        <v>109</v>
      </c>
      <c r="M11" s="96"/>
      <c r="N11" s="11"/>
    </row>
    <row r="12" spans="1:15" ht="19" x14ac:dyDescent="0.25">
      <c r="A12" s="77">
        <v>5</v>
      </c>
      <c r="B12" s="42">
        <v>45261</v>
      </c>
      <c r="C12" s="66">
        <v>102000</v>
      </c>
      <c r="D12" s="209" t="s">
        <v>233</v>
      </c>
      <c r="E12" s="203" t="s">
        <v>17</v>
      </c>
      <c r="F12" s="207" t="s">
        <v>72</v>
      </c>
      <c r="G12" s="12">
        <v>1240137610</v>
      </c>
      <c r="H12" s="15" t="s">
        <v>30</v>
      </c>
      <c r="I12" s="15" t="s">
        <v>105</v>
      </c>
      <c r="J12" s="99" t="s">
        <v>65</v>
      </c>
      <c r="K12" s="76"/>
      <c r="L12" s="175" t="s">
        <v>65</v>
      </c>
      <c r="M12" s="96"/>
      <c r="N12" s="11"/>
    </row>
    <row r="13" spans="1:15" ht="19" x14ac:dyDescent="0.25">
      <c r="A13" s="77">
        <v>6</v>
      </c>
      <c r="B13" s="43">
        <v>45294</v>
      </c>
      <c r="C13" s="66">
        <v>42500</v>
      </c>
      <c r="D13" s="84" t="s">
        <v>48</v>
      </c>
      <c r="E13" s="15" t="s">
        <v>15</v>
      </c>
      <c r="F13" s="84" t="s">
        <v>190</v>
      </c>
      <c r="G13" s="12">
        <v>1277198338</v>
      </c>
      <c r="H13" s="7" t="s">
        <v>27</v>
      </c>
      <c r="I13" s="15" t="s">
        <v>105</v>
      </c>
      <c r="J13" s="68">
        <v>304</v>
      </c>
      <c r="K13" s="76" t="s">
        <v>113</v>
      </c>
      <c r="L13" s="174" t="s">
        <v>109</v>
      </c>
      <c r="M13" s="96"/>
    </row>
    <row r="14" spans="1:15" ht="19" x14ac:dyDescent="0.25">
      <c r="A14" s="77">
        <v>7</v>
      </c>
      <c r="B14" s="43">
        <v>45301</v>
      </c>
      <c r="C14" s="66">
        <v>43500</v>
      </c>
      <c r="D14" s="84" t="s">
        <v>48</v>
      </c>
      <c r="E14" s="197" t="s">
        <v>18</v>
      </c>
      <c r="F14" s="85" t="s">
        <v>232</v>
      </c>
      <c r="G14" s="15">
        <v>1263327262</v>
      </c>
      <c r="H14" s="7" t="s">
        <v>20</v>
      </c>
      <c r="I14" s="15" t="s">
        <v>105</v>
      </c>
      <c r="J14" s="68">
        <v>304</v>
      </c>
      <c r="K14" s="76" t="s">
        <v>154</v>
      </c>
      <c r="L14" s="174" t="s">
        <v>109</v>
      </c>
      <c r="M14" s="96"/>
    </row>
    <row r="15" spans="1:15" ht="19" x14ac:dyDescent="0.25">
      <c r="A15" s="77">
        <v>8</v>
      </c>
      <c r="B15" s="43">
        <v>45348</v>
      </c>
      <c r="C15" s="66">
        <v>39500</v>
      </c>
      <c r="D15" s="84" t="s">
        <v>48</v>
      </c>
      <c r="E15" s="15" t="s">
        <v>19</v>
      </c>
      <c r="F15" s="84" t="s">
        <v>212</v>
      </c>
      <c r="G15" s="12">
        <v>1263737037</v>
      </c>
      <c r="H15" s="7" t="s">
        <v>21</v>
      </c>
      <c r="I15" s="15" t="s">
        <v>105</v>
      </c>
      <c r="J15" s="68">
        <v>304</v>
      </c>
      <c r="K15" s="76" t="s">
        <v>113</v>
      </c>
      <c r="L15" s="174" t="s">
        <v>109</v>
      </c>
      <c r="M15" s="1"/>
    </row>
    <row r="16" spans="1:15" ht="19" customHeight="1" x14ac:dyDescent="0.25">
      <c r="A16" s="77">
        <v>9</v>
      </c>
      <c r="B16" s="43">
        <v>45412</v>
      </c>
      <c r="C16" s="66">
        <v>51900</v>
      </c>
      <c r="D16" s="84" t="s">
        <v>50</v>
      </c>
      <c r="E16" s="197" t="s">
        <v>40</v>
      </c>
      <c r="F16" s="206" t="s">
        <v>187</v>
      </c>
      <c r="G16" s="7">
        <v>1317248969</v>
      </c>
      <c r="H16" s="7" t="s">
        <v>41</v>
      </c>
      <c r="I16" s="15" t="s">
        <v>105</v>
      </c>
      <c r="J16" s="68">
        <v>304</v>
      </c>
      <c r="K16" s="76" t="s">
        <v>122</v>
      </c>
      <c r="L16" s="172" t="s">
        <v>182</v>
      </c>
      <c r="M16" s="172"/>
      <c r="O16" s="51"/>
    </row>
    <row r="17" spans="1:15" ht="19" customHeight="1" x14ac:dyDescent="0.25">
      <c r="A17" s="77">
        <v>10</v>
      </c>
      <c r="B17" s="43">
        <v>45453</v>
      </c>
      <c r="C17" s="66">
        <v>51100</v>
      </c>
      <c r="D17" s="84" t="s">
        <v>50</v>
      </c>
      <c r="E17" s="197" t="s">
        <v>44</v>
      </c>
      <c r="F17" s="84" t="s">
        <v>215</v>
      </c>
      <c r="G17" s="15">
        <v>1331644132</v>
      </c>
      <c r="H17" s="7" t="s">
        <v>45</v>
      </c>
      <c r="I17" s="15" t="s">
        <v>105</v>
      </c>
      <c r="J17" s="68">
        <v>304</v>
      </c>
      <c r="K17" s="76" t="s">
        <v>114</v>
      </c>
      <c r="L17" s="174" t="s">
        <v>109</v>
      </c>
      <c r="M17" s="85"/>
    </row>
    <row r="18" spans="1:15" ht="19" x14ac:dyDescent="0.25">
      <c r="A18" s="77">
        <v>11</v>
      </c>
      <c r="B18" s="43">
        <v>45546</v>
      </c>
      <c r="C18" s="66">
        <v>46000</v>
      </c>
      <c r="D18" s="84" t="s">
        <v>53</v>
      </c>
      <c r="E18" s="15" t="s">
        <v>51</v>
      </c>
      <c r="F18" s="84" t="s">
        <v>195</v>
      </c>
      <c r="G18" s="50">
        <v>1303597796</v>
      </c>
      <c r="H18" s="15" t="s">
        <v>52</v>
      </c>
      <c r="I18" s="15" t="s">
        <v>105</v>
      </c>
      <c r="J18" s="68">
        <v>304</v>
      </c>
      <c r="K18" s="76" t="s">
        <v>112</v>
      </c>
      <c r="L18" s="172" t="s">
        <v>182</v>
      </c>
      <c r="M18" s="172"/>
    </row>
    <row r="19" spans="1:15" ht="19" x14ac:dyDescent="0.25">
      <c r="A19" s="77">
        <v>12</v>
      </c>
      <c r="B19" s="86">
        <v>45530</v>
      </c>
      <c r="C19" s="125">
        <v>78200</v>
      </c>
      <c r="D19" s="209" t="s">
        <v>205</v>
      </c>
      <c r="E19" s="203" t="s">
        <v>54</v>
      </c>
      <c r="F19" s="207" t="s">
        <v>65</v>
      </c>
      <c r="G19" s="50">
        <v>1334159189</v>
      </c>
      <c r="H19" s="7" t="s">
        <v>55</v>
      </c>
      <c r="I19" s="15" t="s">
        <v>105</v>
      </c>
      <c r="J19" s="99" t="s">
        <v>123</v>
      </c>
      <c r="K19" s="76"/>
      <c r="L19" s="175" t="s">
        <v>65</v>
      </c>
      <c r="M19" s="96"/>
      <c r="N19" s="7"/>
      <c r="O19" s="8"/>
    </row>
    <row r="20" spans="1:15" ht="19" x14ac:dyDescent="0.25">
      <c r="A20" s="1">
        <v>13</v>
      </c>
      <c r="B20" s="43">
        <v>45700</v>
      </c>
      <c r="C20" s="66">
        <v>70800</v>
      </c>
      <c r="D20" s="84" t="s">
        <v>118</v>
      </c>
      <c r="E20" s="197" t="s">
        <v>84</v>
      </c>
      <c r="F20" s="84" t="s">
        <v>231</v>
      </c>
      <c r="G20" s="7">
        <v>1336179390</v>
      </c>
      <c r="H20" s="7" t="s">
        <v>117</v>
      </c>
      <c r="I20" s="15" t="s">
        <v>105</v>
      </c>
      <c r="J20" s="68">
        <v>366</v>
      </c>
      <c r="K20" s="76"/>
      <c r="L20" s="1" t="s">
        <v>120</v>
      </c>
      <c r="M20" s="94"/>
    </row>
    <row r="21" spans="1:15" ht="19" x14ac:dyDescent="0.25">
      <c r="A21" s="85">
        <v>14</v>
      </c>
      <c r="B21" s="86">
        <v>45803</v>
      </c>
      <c r="C21" s="66">
        <v>54500</v>
      </c>
      <c r="D21" s="84" t="s">
        <v>50</v>
      </c>
      <c r="E21" s="15" t="s">
        <v>103</v>
      </c>
      <c r="F21" s="84" t="s">
        <v>228</v>
      </c>
      <c r="G21" s="15">
        <v>1325484366</v>
      </c>
      <c r="H21" s="15" t="s">
        <v>104</v>
      </c>
      <c r="I21" s="15" t="s">
        <v>105</v>
      </c>
      <c r="J21" s="68">
        <v>304</v>
      </c>
      <c r="K21" s="80" t="s">
        <v>184</v>
      </c>
      <c r="L21" s="174" t="s">
        <v>109</v>
      </c>
      <c r="M21" s="96"/>
    </row>
    <row r="22" spans="1:15" ht="19" x14ac:dyDescent="0.25">
      <c r="A22" s="85">
        <v>15</v>
      </c>
      <c r="B22" s="86">
        <v>45818</v>
      </c>
      <c r="C22" s="66">
        <v>47000</v>
      </c>
      <c r="D22" s="84" t="s">
        <v>116</v>
      </c>
      <c r="E22" s="15" t="s">
        <v>110</v>
      </c>
      <c r="F22" s="84" t="s">
        <v>100</v>
      </c>
      <c r="G22" s="4">
        <v>1264725040</v>
      </c>
      <c r="H22" s="4" t="s">
        <v>111</v>
      </c>
      <c r="I22" s="84" t="s">
        <v>105</v>
      </c>
      <c r="J22" s="68">
        <v>304</v>
      </c>
      <c r="K22" s="76"/>
      <c r="L22" s="85" t="s">
        <v>181</v>
      </c>
      <c r="M22" s="98" t="s">
        <v>121</v>
      </c>
    </row>
    <row r="23" spans="1:15" ht="19" x14ac:dyDescent="0.25">
      <c r="A23" s="1">
        <v>16</v>
      </c>
      <c r="B23" s="86">
        <v>45932</v>
      </c>
      <c r="C23" s="125">
        <v>45000</v>
      </c>
      <c r="D23" s="84" t="s">
        <v>53</v>
      </c>
      <c r="E23" s="183" t="s">
        <v>142</v>
      </c>
      <c r="F23" s="84" t="s">
        <v>43</v>
      </c>
      <c r="G23" s="15">
        <v>1320510172</v>
      </c>
      <c r="H23" s="15" t="s">
        <v>143</v>
      </c>
      <c r="I23" s="181" t="s">
        <v>193</v>
      </c>
      <c r="J23" s="68">
        <v>304</v>
      </c>
      <c r="K23" s="126"/>
      <c r="L23" s="176" t="s">
        <v>144</v>
      </c>
    </row>
    <row r="24" spans="1:15" ht="19" x14ac:dyDescent="0.25">
      <c r="A24" s="1">
        <v>17</v>
      </c>
      <c r="B24" s="86">
        <v>45951</v>
      </c>
      <c r="C24" s="66">
        <v>52000</v>
      </c>
      <c r="D24" s="84" t="s">
        <v>50</v>
      </c>
      <c r="E24" s="183" t="s">
        <v>140</v>
      </c>
      <c r="F24" s="84" t="s">
        <v>139</v>
      </c>
      <c r="G24" s="7">
        <v>1303376889</v>
      </c>
      <c r="H24" s="7" t="s">
        <v>141</v>
      </c>
      <c r="I24" s="182" t="s">
        <v>193</v>
      </c>
      <c r="J24" s="68">
        <v>304</v>
      </c>
      <c r="K24" s="80" t="s">
        <v>145</v>
      </c>
      <c r="L24" t="s">
        <v>151</v>
      </c>
    </row>
    <row r="25" spans="1:15" ht="19" x14ac:dyDescent="0.25">
      <c r="A25" s="1">
        <v>18</v>
      </c>
      <c r="B25" s="43">
        <v>45975</v>
      </c>
      <c r="C25" s="66">
        <v>40000</v>
      </c>
      <c r="D25" s="210" t="s">
        <v>53</v>
      </c>
      <c r="E25" s="15" t="s">
        <v>147</v>
      </c>
      <c r="F25" s="1" t="s">
        <v>211</v>
      </c>
      <c r="G25" s="127">
        <v>1301270595</v>
      </c>
      <c r="H25" s="7" t="s">
        <v>148</v>
      </c>
      <c r="I25" s="15" t="s">
        <v>105</v>
      </c>
      <c r="J25" s="68">
        <v>304</v>
      </c>
      <c r="K25" s="44"/>
      <c r="L25" s="172" t="s">
        <v>183</v>
      </c>
    </row>
    <row r="26" spans="1:15" ht="19" x14ac:dyDescent="0.25">
      <c r="A26" s="1">
        <v>19</v>
      </c>
      <c r="B26" s="43">
        <v>45987</v>
      </c>
      <c r="C26" s="66">
        <v>48000</v>
      </c>
      <c r="D26" s="210" t="s">
        <v>116</v>
      </c>
      <c r="E26" s="197" t="s">
        <v>150</v>
      </c>
      <c r="F26" s="206" t="s">
        <v>187</v>
      </c>
      <c r="G26" s="127">
        <v>1264606637</v>
      </c>
      <c r="H26" s="7" t="s">
        <v>149</v>
      </c>
      <c r="I26" s="180" t="s">
        <v>198</v>
      </c>
      <c r="J26" s="68">
        <v>304</v>
      </c>
      <c r="K26" s="80" t="s">
        <v>199</v>
      </c>
      <c r="L26" t="s">
        <v>180</v>
      </c>
    </row>
    <row r="27" spans="1:15" ht="19" x14ac:dyDescent="0.25">
      <c r="A27" s="1">
        <v>20</v>
      </c>
      <c r="B27" s="43">
        <v>46085</v>
      </c>
      <c r="C27" s="66">
        <v>43000</v>
      </c>
      <c r="D27" s="210" t="s">
        <v>53</v>
      </c>
      <c r="E27" s="15" t="s">
        <v>186</v>
      </c>
      <c r="F27" s="226" t="s">
        <v>3</v>
      </c>
      <c r="G27" s="7">
        <v>1298022565</v>
      </c>
      <c r="H27" s="7" t="s">
        <v>188</v>
      </c>
      <c r="I27" s="15" t="s">
        <v>105</v>
      </c>
      <c r="J27" s="68">
        <v>304</v>
      </c>
      <c r="L27" t="s">
        <v>200</v>
      </c>
    </row>
    <row r="28" spans="1:15" ht="19" x14ac:dyDescent="0.25">
      <c r="A28" s="1">
        <v>21</v>
      </c>
      <c r="B28" s="43">
        <v>46104</v>
      </c>
      <c r="C28" s="66">
        <v>46000</v>
      </c>
      <c r="D28" s="84" t="s">
        <v>50</v>
      </c>
      <c r="E28" s="15" t="s">
        <v>191</v>
      </c>
      <c r="F28" s="84" t="s">
        <v>230</v>
      </c>
      <c r="G28" s="204">
        <v>1339816854</v>
      </c>
      <c r="H28" s="177" t="s">
        <v>192</v>
      </c>
      <c r="I28" s="15" t="s">
        <v>105</v>
      </c>
      <c r="J28" s="68">
        <v>304</v>
      </c>
      <c r="K28" s="44"/>
      <c r="L28" t="s">
        <v>200</v>
      </c>
    </row>
    <row r="29" spans="1:15" ht="19" x14ac:dyDescent="0.25">
      <c r="A29" s="1">
        <v>22</v>
      </c>
      <c r="B29" s="43">
        <v>46161</v>
      </c>
      <c r="C29" s="66">
        <v>65200</v>
      </c>
      <c r="D29" s="209" t="s">
        <v>210</v>
      </c>
      <c r="E29" s="202" t="s">
        <v>207</v>
      </c>
      <c r="F29" s="207" t="s">
        <v>65</v>
      </c>
      <c r="G29" s="1">
        <v>1383909501</v>
      </c>
      <c r="H29" s="1" t="s">
        <v>208</v>
      </c>
      <c r="I29" s="7" t="s">
        <v>198</v>
      </c>
      <c r="J29" s="99" t="s">
        <v>123</v>
      </c>
      <c r="K29" s="44"/>
      <c r="L29" s="175" t="s">
        <v>65</v>
      </c>
    </row>
    <row r="30" spans="1:15" ht="3" customHeight="1" x14ac:dyDescent="0.25">
      <c r="A30" s="198">
        <v>23</v>
      </c>
      <c r="B30" s="199"/>
      <c r="C30" s="200"/>
      <c r="D30" s="209" t="s">
        <v>16</v>
      </c>
      <c r="E30" s="198" t="s">
        <v>206</v>
      </c>
      <c r="F30" s="207" t="s">
        <v>65</v>
      </c>
      <c r="G30" s="201">
        <v>1378880428</v>
      </c>
      <c r="H30" s="201" t="s">
        <v>209</v>
      </c>
      <c r="I30" s="7" t="s">
        <v>198</v>
      </c>
      <c r="J30" s="99" t="s">
        <v>123</v>
      </c>
      <c r="K30" s="44"/>
      <c r="L30" s="175" t="s">
        <v>65</v>
      </c>
    </row>
    <row r="31" spans="1:15" ht="19" x14ac:dyDescent="0.25">
      <c r="A31" s="7"/>
      <c r="B31" s="7"/>
      <c r="C31" s="7"/>
      <c r="D31" s="210"/>
      <c r="E31" s="7"/>
      <c r="F31" s="7"/>
      <c r="G31" s="7"/>
      <c r="H31" s="7"/>
      <c r="I31" s="7"/>
      <c r="J31" s="211">
        <f>SUM(J8:J30)</f>
        <v>5718</v>
      </c>
      <c r="K31" s="44"/>
    </row>
    <row r="32" spans="1:15" ht="19" x14ac:dyDescent="0.25">
      <c r="A32" s="7"/>
      <c r="B32" s="7"/>
      <c r="C32" s="346"/>
      <c r="D32" s="210"/>
      <c r="E32" s="7"/>
      <c r="F32" s="7"/>
      <c r="G32" s="7"/>
      <c r="H32" s="7"/>
      <c r="I32" s="7"/>
      <c r="J32" s="44"/>
      <c r="K32" s="44"/>
    </row>
    <row r="33" spans="1:11" ht="19" x14ac:dyDescent="0.25">
      <c r="A33" s="7"/>
      <c r="B33" s="7"/>
      <c r="C33" s="7"/>
      <c r="D33" s="210"/>
      <c r="E33" s="7"/>
      <c r="F33" s="7"/>
      <c r="G33" s="7"/>
      <c r="H33" s="7"/>
      <c r="I33" s="7"/>
      <c r="J33" s="44"/>
      <c r="K33" s="44"/>
    </row>
    <row r="34" spans="1:11" ht="19" x14ac:dyDescent="0.25">
      <c r="A34" s="7"/>
      <c r="B34" s="7"/>
      <c r="C34" s="7"/>
      <c r="D34" s="210"/>
      <c r="E34" s="7"/>
      <c r="F34" s="7"/>
      <c r="G34" s="7"/>
      <c r="H34" s="7"/>
      <c r="I34" s="7"/>
      <c r="J34" s="44"/>
      <c r="K34" s="44"/>
    </row>
    <row r="35" spans="1:11" ht="19" x14ac:dyDescent="0.25">
      <c r="A35" s="7"/>
      <c r="B35" s="7"/>
      <c r="C35" s="7"/>
      <c r="D35" s="210"/>
      <c r="E35" s="7"/>
      <c r="F35" s="7"/>
      <c r="G35" s="7"/>
      <c r="H35" s="7"/>
      <c r="I35" s="7"/>
      <c r="J35" s="44"/>
      <c r="K35" s="44"/>
    </row>
    <row r="36" spans="1:11" ht="19" x14ac:dyDescent="0.25">
      <c r="A36" s="7"/>
      <c r="B36" s="7"/>
      <c r="C36" s="7"/>
      <c r="D36" s="210"/>
      <c r="E36" s="7"/>
      <c r="F36" s="7"/>
      <c r="G36" s="7"/>
      <c r="H36" s="7"/>
      <c r="I36" s="7"/>
    </row>
    <row r="37" spans="1:11" ht="19" x14ac:dyDescent="0.25">
      <c r="A37" s="7"/>
      <c r="B37" s="7"/>
      <c r="C37" s="7"/>
      <c r="D37" s="210"/>
      <c r="E37" s="7"/>
      <c r="F37" s="7"/>
      <c r="G37" s="7"/>
      <c r="H37" s="7"/>
      <c r="I37" s="7"/>
    </row>
    <row r="38" spans="1:11" ht="18" x14ac:dyDescent="0.2">
      <c r="G38" s="13"/>
      <c r="H38" s="13"/>
    </row>
  </sheetData>
  <mergeCells count="1">
    <mergeCell ref="A5:L5"/>
  </mergeCells>
  <pageMargins left="0.511811024" right="0.511811024" top="0.78740157499999996" bottom="0.78740157499999996" header="0.31496062000000002" footer="0.31496062000000002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4828F-722F-E540-8072-9BEEAEE7A5A8}">
  <dimension ref="A1:F71"/>
  <sheetViews>
    <sheetView topLeftCell="A66" zoomScale="110" zoomScaleNormal="110" workbookViewId="0">
      <selection activeCell="D70" sqref="D70"/>
    </sheetView>
  </sheetViews>
  <sheetFormatPr baseColWidth="10" defaultRowHeight="19" x14ac:dyDescent="0.2"/>
  <cols>
    <col min="1" max="1" width="4.33203125" style="129" customWidth="1"/>
    <col min="2" max="2" width="15.5" style="129" customWidth="1"/>
    <col min="3" max="3" width="19" style="189" customWidth="1"/>
    <col min="4" max="4" width="18.33203125" style="129" customWidth="1"/>
    <col min="5" max="5" width="19.83203125" style="154" customWidth="1"/>
    <col min="6" max="6" width="17.5" style="134" customWidth="1"/>
  </cols>
  <sheetData>
    <row r="1" spans="1:6" x14ac:dyDescent="0.2">
      <c r="A1" s="234" t="s">
        <v>10</v>
      </c>
      <c r="B1" s="235"/>
      <c r="C1" s="235"/>
      <c r="D1" s="235"/>
      <c r="E1" s="235"/>
      <c r="F1" s="235"/>
    </row>
    <row r="2" spans="1:6" ht="9" customHeight="1" x14ac:dyDescent="0.2"/>
    <row r="3" spans="1:6" x14ac:dyDescent="0.2">
      <c r="A3" s="153"/>
      <c r="B3" s="128" t="s">
        <v>39</v>
      </c>
      <c r="C3" s="190" t="s">
        <v>61</v>
      </c>
      <c r="D3" s="128" t="s">
        <v>60</v>
      </c>
      <c r="E3" s="155" t="s">
        <v>66</v>
      </c>
      <c r="F3" s="132" t="s">
        <v>102</v>
      </c>
    </row>
    <row r="4" spans="1:6" ht="15" customHeight="1" thickBot="1" x14ac:dyDescent="0.25">
      <c r="B4" s="130"/>
      <c r="C4" s="191"/>
      <c r="D4" s="131"/>
      <c r="F4" s="133"/>
    </row>
    <row r="5" spans="1:6" ht="201" customHeight="1" thickBot="1" x14ac:dyDescent="0.25">
      <c r="A5" s="135" t="s">
        <v>160</v>
      </c>
      <c r="B5" s="136">
        <v>45120</v>
      </c>
      <c r="C5" s="185" t="s">
        <v>11</v>
      </c>
      <c r="D5" s="137" t="s">
        <v>47</v>
      </c>
      <c r="E5" s="157">
        <v>42000</v>
      </c>
      <c r="F5" s="138" t="s">
        <v>3</v>
      </c>
    </row>
    <row r="6" spans="1:6" ht="16" customHeight="1" x14ac:dyDescent="0.2">
      <c r="A6" s="161" t="s">
        <v>161</v>
      </c>
      <c r="B6" s="139">
        <v>45131</v>
      </c>
      <c r="C6" s="192" t="s">
        <v>12</v>
      </c>
      <c r="D6" s="140" t="s">
        <v>47</v>
      </c>
      <c r="E6" s="158">
        <v>38500</v>
      </c>
      <c r="F6" s="141" t="s">
        <v>155</v>
      </c>
    </row>
    <row r="7" spans="1:6" ht="15" customHeight="1" x14ac:dyDescent="0.2">
      <c r="A7" s="142"/>
      <c r="B7" s="143"/>
      <c r="C7" s="193"/>
      <c r="D7" s="144"/>
      <c r="F7" s="145" t="s">
        <v>100</v>
      </c>
    </row>
    <row r="8" spans="1:6" ht="15" customHeight="1" x14ac:dyDescent="0.2">
      <c r="A8" s="142"/>
      <c r="B8" s="143"/>
      <c r="C8" s="193"/>
      <c r="D8" s="144"/>
      <c r="F8" s="145" t="s">
        <v>156</v>
      </c>
    </row>
    <row r="9" spans="1:6" ht="15" customHeight="1" x14ac:dyDescent="0.2">
      <c r="A9" s="142"/>
      <c r="B9" s="143"/>
      <c r="C9" s="193"/>
      <c r="D9" s="144"/>
      <c r="F9" s="145" t="s">
        <v>71</v>
      </c>
    </row>
    <row r="10" spans="1:6" ht="15" customHeight="1" x14ac:dyDescent="0.2">
      <c r="A10" s="142"/>
      <c r="B10" s="143"/>
      <c r="C10" s="193"/>
      <c r="D10" s="144"/>
      <c r="F10" s="145" t="s">
        <v>146</v>
      </c>
    </row>
    <row r="11" spans="1:6" ht="141" customHeight="1" thickBot="1" x14ac:dyDescent="0.25">
      <c r="A11" s="146"/>
      <c r="B11" s="147"/>
      <c r="C11" s="194"/>
      <c r="D11" s="148"/>
      <c r="E11" s="159"/>
      <c r="F11" s="149"/>
    </row>
    <row r="12" spans="1:6" ht="15" customHeight="1" x14ac:dyDescent="0.2">
      <c r="A12" s="161" t="s">
        <v>162</v>
      </c>
      <c r="B12" s="139">
        <v>45257</v>
      </c>
      <c r="C12" s="192" t="s">
        <v>14</v>
      </c>
      <c r="D12" s="140" t="s">
        <v>49</v>
      </c>
      <c r="E12" s="158">
        <v>43500</v>
      </c>
      <c r="F12" s="150" t="s">
        <v>157</v>
      </c>
    </row>
    <row r="13" spans="1:6" ht="14" customHeight="1" x14ac:dyDescent="0.2">
      <c r="A13" s="163"/>
      <c r="B13" s="143"/>
      <c r="C13" s="193"/>
      <c r="D13" s="144"/>
      <c r="E13" s="156"/>
      <c r="F13" s="152" t="s">
        <v>43</v>
      </c>
    </row>
    <row r="14" spans="1:6" ht="15" customHeight="1" x14ac:dyDescent="0.2">
      <c r="A14" s="163"/>
      <c r="B14" s="143"/>
      <c r="C14" s="193"/>
      <c r="D14" s="144"/>
      <c r="E14" s="156"/>
      <c r="F14" s="152" t="s">
        <v>146</v>
      </c>
    </row>
    <row r="15" spans="1:6" ht="153" customHeight="1" thickBot="1" x14ac:dyDescent="0.25">
      <c r="A15" s="146"/>
      <c r="B15" s="147"/>
      <c r="C15" s="194"/>
      <c r="D15" s="148"/>
      <c r="E15" s="159"/>
      <c r="F15" s="151" t="s">
        <v>68</v>
      </c>
    </row>
    <row r="16" spans="1:6" ht="15" customHeight="1" x14ac:dyDescent="0.2">
      <c r="A16" s="161" t="s">
        <v>163</v>
      </c>
      <c r="B16" s="139">
        <v>45265</v>
      </c>
      <c r="C16" s="192" t="s">
        <v>13</v>
      </c>
      <c r="D16" s="140" t="s">
        <v>49</v>
      </c>
      <c r="E16" s="158">
        <v>43500</v>
      </c>
      <c r="F16" s="150" t="s">
        <v>158</v>
      </c>
    </row>
    <row r="17" spans="1:6" ht="14" customHeight="1" x14ac:dyDescent="0.2">
      <c r="A17" s="142"/>
      <c r="B17" s="143"/>
      <c r="C17" s="193"/>
      <c r="D17" s="144"/>
      <c r="F17" s="152" t="s">
        <v>68</v>
      </c>
    </row>
    <row r="18" spans="1:6" ht="15" customHeight="1" x14ac:dyDescent="0.2">
      <c r="A18" s="142"/>
      <c r="B18" s="143"/>
      <c r="C18" s="193"/>
      <c r="D18" s="144"/>
      <c r="F18" s="152" t="s">
        <v>71</v>
      </c>
    </row>
    <row r="19" spans="1:6" ht="15" customHeight="1" x14ac:dyDescent="0.2">
      <c r="A19" s="142"/>
      <c r="B19" s="143"/>
      <c r="C19" s="193"/>
      <c r="D19" s="144"/>
      <c r="F19" s="152" t="s">
        <v>178</v>
      </c>
    </row>
    <row r="20" spans="1:6" ht="152" customHeight="1" thickBot="1" x14ac:dyDescent="0.25">
      <c r="A20" s="146"/>
      <c r="B20" s="147"/>
      <c r="C20" s="194"/>
      <c r="D20" s="148"/>
      <c r="E20" s="159"/>
      <c r="F20" s="151" t="s">
        <v>152</v>
      </c>
    </row>
    <row r="21" spans="1:6" ht="15" customHeight="1" x14ac:dyDescent="0.2">
      <c r="A21" s="153"/>
      <c r="B21" s="128" t="s">
        <v>39</v>
      </c>
      <c r="C21" s="190" t="s">
        <v>61</v>
      </c>
      <c r="D21" s="128" t="s">
        <v>60</v>
      </c>
      <c r="E21" s="155" t="s">
        <v>66</v>
      </c>
      <c r="F21" s="132" t="s">
        <v>102</v>
      </c>
    </row>
    <row r="22" spans="1:6" ht="15" customHeight="1" thickBot="1" x14ac:dyDescent="0.25">
      <c r="B22" s="130"/>
      <c r="C22" s="191"/>
      <c r="D22" s="131"/>
      <c r="F22" s="133"/>
    </row>
    <row r="23" spans="1:6" ht="15" customHeight="1" x14ac:dyDescent="0.2">
      <c r="A23" s="161" t="s">
        <v>164</v>
      </c>
      <c r="B23" s="139">
        <v>45294</v>
      </c>
      <c r="C23" s="192" t="s">
        <v>15</v>
      </c>
      <c r="D23" s="140" t="s">
        <v>48</v>
      </c>
      <c r="E23" s="158">
        <v>42500</v>
      </c>
      <c r="F23" s="141" t="s">
        <v>159</v>
      </c>
    </row>
    <row r="24" spans="1:6" ht="16" customHeight="1" x14ac:dyDescent="0.2">
      <c r="A24" s="163"/>
      <c r="B24" s="143"/>
      <c r="C24" s="193"/>
      <c r="D24" s="144"/>
      <c r="E24" s="156"/>
      <c r="F24" s="145" t="s">
        <v>59</v>
      </c>
    </row>
    <row r="25" spans="1:6" ht="175" customHeight="1" thickBot="1" x14ac:dyDescent="0.25">
      <c r="A25" s="146"/>
      <c r="B25" s="147"/>
      <c r="C25" s="194"/>
      <c r="D25" s="148"/>
      <c r="E25" s="159"/>
      <c r="F25" s="149" t="s">
        <v>190</v>
      </c>
    </row>
    <row r="26" spans="1:6" ht="14" customHeight="1" x14ac:dyDescent="0.2">
      <c r="A26" s="161" t="s">
        <v>165</v>
      </c>
      <c r="B26" s="139">
        <v>45301</v>
      </c>
      <c r="C26" s="192" t="s">
        <v>18</v>
      </c>
      <c r="D26" s="140" t="s">
        <v>48</v>
      </c>
      <c r="E26" s="158">
        <v>43500</v>
      </c>
      <c r="F26" s="150" t="s">
        <v>28</v>
      </c>
    </row>
    <row r="27" spans="1:6" ht="14" customHeight="1" x14ac:dyDescent="0.2">
      <c r="A27" s="163"/>
      <c r="B27" s="143"/>
      <c r="C27" s="193"/>
      <c r="D27" s="144"/>
      <c r="E27" s="156"/>
      <c r="F27" s="152" t="s">
        <v>139</v>
      </c>
    </row>
    <row r="28" spans="1:6" ht="184" customHeight="1" thickBot="1" x14ac:dyDescent="0.25">
      <c r="A28" s="146"/>
      <c r="B28" s="147"/>
      <c r="C28" s="194"/>
      <c r="D28" s="148"/>
      <c r="E28" s="159"/>
      <c r="F28" s="151" t="s">
        <v>204</v>
      </c>
    </row>
    <row r="29" spans="1:6" ht="15" customHeight="1" x14ac:dyDescent="0.2">
      <c r="A29" s="161" t="s">
        <v>166</v>
      </c>
      <c r="B29" s="139">
        <v>45348</v>
      </c>
      <c r="C29" s="192" t="s">
        <v>19</v>
      </c>
      <c r="D29" s="140" t="s">
        <v>48</v>
      </c>
      <c r="E29" s="162">
        <v>39500</v>
      </c>
      <c r="F29" s="150" t="s">
        <v>177</v>
      </c>
    </row>
    <row r="30" spans="1:6" ht="15" customHeight="1" x14ac:dyDescent="0.2">
      <c r="A30" s="163"/>
      <c r="B30" s="143"/>
      <c r="C30" s="193"/>
      <c r="D30" s="144"/>
      <c r="E30" s="160"/>
      <c r="F30" s="152" t="s">
        <v>71</v>
      </c>
    </row>
    <row r="31" spans="1:6" ht="15" customHeight="1" x14ac:dyDescent="0.2">
      <c r="A31" s="163"/>
      <c r="B31" s="143"/>
      <c r="C31" s="193"/>
      <c r="D31" s="144"/>
      <c r="E31" s="160"/>
      <c r="F31" s="152" t="s">
        <v>178</v>
      </c>
    </row>
    <row r="32" spans="1:6" ht="15" customHeight="1" x14ac:dyDescent="0.2">
      <c r="A32" s="163"/>
      <c r="B32" s="143"/>
      <c r="C32" s="193"/>
      <c r="D32" s="144"/>
      <c r="E32" s="160"/>
      <c r="F32" s="152" t="s">
        <v>159</v>
      </c>
    </row>
    <row r="33" spans="1:6" ht="15" customHeight="1" x14ac:dyDescent="0.2">
      <c r="A33" s="163"/>
      <c r="B33" s="143"/>
      <c r="C33" s="193"/>
      <c r="D33" s="144"/>
      <c r="E33" s="160"/>
      <c r="F33" s="152" t="s">
        <v>152</v>
      </c>
    </row>
    <row r="34" spans="1:6" ht="15" customHeight="1" x14ac:dyDescent="0.2">
      <c r="A34" s="163"/>
      <c r="B34" s="143"/>
      <c r="C34" s="193"/>
      <c r="D34" s="144"/>
      <c r="E34" s="160"/>
      <c r="F34" s="152" t="s">
        <v>139</v>
      </c>
    </row>
    <row r="35" spans="1:6" ht="15" customHeight="1" x14ac:dyDescent="0.2">
      <c r="A35" s="163"/>
      <c r="B35" s="143"/>
      <c r="C35" s="193"/>
      <c r="D35" s="144"/>
      <c r="E35" s="160"/>
      <c r="F35" s="152" t="s">
        <v>196</v>
      </c>
    </row>
    <row r="36" spans="1:6" ht="133" customHeight="1" thickBot="1" x14ac:dyDescent="0.25">
      <c r="A36" s="164"/>
      <c r="B36" s="147"/>
      <c r="C36" s="194"/>
      <c r="D36" s="148"/>
      <c r="E36" s="165"/>
      <c r="F36" s="151"/>
    </row>
    <row r="37" spans="1:6" ht="16" customHeight="1" x14ac:dyDescent="0.2">
      <c r="A37" s="161" t="s">
        <v>167</v>
      </c>
      <c r="B37" s="139">
        <v>45412</v>
      </c>
      <c r="C37" s="192" t="s">
        <v>40</v>
      </c>
      <c r="D37" s="140" t="s">
        <v>50</v>
      </c>
      <c r="E37" s="158">
        <v>51900</v>
      </c>
      <c r="F37" s="150" t="s">
        <v>179</v>
      </c>
    </row>
    <row r="38" spans="1:6" ht="15" customHeight="1" x14ac:dyDescent="0.2">
      <c r="A38" s="163"/>
      <c r="B38" s="143"/>
      <c r="C38" s="193"/>
      <c r="D38" s="144"/>
      <c r="F38" s="152" t="s">
        <v>100</v>
      </c>
    </row>
    <row r="39" spans="1:6" ht="15" customHeight="1" x14ac:dyDescent="0.2">
      <c r="A39" s="163"/>
      <c r="B39" s="143"/>
      <c r="C39" s="193"/>
      <c r="D39" s="144"/>
      <c r="F39" s="152" t="s">
        <v>139</v>
      </c>
    </row>
    <row r="40" spans="1:6" ht="15" customHeight="1" x14ac:dyDescent="0.2">
      <c r="A40" s="163"/>
      <c r="B40" s="143"/>
      <c r="C40" s="193"/>
      <c r="D40" s="144"/>
      <c r="F40" s="152" t="s">
        <v>68</v>
      </c>
    </row>
    <row r="41" spans="1:6" ht="15" customHeight="1" x14ac:dyDescent="0.2">
      <c r="A41" s="163"/>
      <c r="B41" s="143"/>
      <c r="C41" s="193"/>
      <c r="D41" s="144"/>
      <c r="F41" s="152" t="s">
        <v>196</v>
      </c>
    </row>
    <row r="42" spans="1:6" ht="119" customHeight="1" thickBot="1" x14ac:dyDescent="0.25">
      <c r="A42" s="164"/>
      <c r="B42" s="147"/>
      <c r="C42" s="194"/>
      <c r="D42" s="148"/>
      <c r="E42" s="159"/>
      <c r="F42" s="149" t="s">
        <v>189</v>
      </c>
    </row>
    <row r="43" spans="1:6" ht="15" customHeight="1" x14ac:dyDescent="0.2">
      <c r="A43" s="153"/>
      <c r="B43" s="128" t="s">
        <v>39</v>
      </c>
      <c r="C43" s="190" t="s">
        <v>61</v>
      </c>
      <c r="D43" s="128" t="s">
        <v>60</v>
      </c>
      <c r="E43" s="155" t="s">
        <v>66</v>
      </c>
      <c r="F43" s="132" t="s">
        <v>102</v>
      </c>
    </row>
    <row r="44" spans="1:6" ht="15" customHeight="1" thickBot="1" x14ac:dyDescent="0.25">
      <c r="B44" s="130"/>
      <c r="C44" s="191"/>
      <c r="D44" s="131"/>
      <c r="F44" s="133"/>
    </row>
    <row r="45" spans="1:6" ht="16" customHeight="1" x14ac:dyDescent="0.2">
      <c r="A45" s="161" t="s">
        <v>168</v>
      </c>
      <c r="B45" s="139">
        <v>45453</v>
      </c>
      <c r="C45" s="192" t="s">
        <v>44</v>
      </c>
      <c r="D45" s="140" t="s">
        <v>50</v>
      </c>
      <c r="E45" s="162">
        <v>51100</v>
      </c>
      <c r="F45" s="150" t="s">
        <v>7</v>
      </c>
    </row>
    <row r="46" spans="1:6" ht="16" customHeight="1" x14ac:dyDescent="0.2">
      <c r="A46" s="163"/>
      <c r="B46" s="143"/>
      <c r="C46" s="193"/>
      <c r="D46" s="144"/>
      <c r="E46" s="160"/>
      <c r="F46" s="152" t="s">
        <v>213</v>
      </c>
    </row>
    <row r="47" spans="1:6" ht="16" customHeight="1" x14ac:dyDescent="0.2">
      <c r="A47" s="163"/>
      <c r="B47" s="143"/>
      <c r="C47" s="193"/>
      <c r="D47" s="144"/>
      <c r="E47" s="160"/>
      <c r="F47" s="152" t="s">
        <v>68</v>
      </c>
    </row>
    <row r="48" spans="1:6" ht="168" customHeight="1" thickBot="1" x14ac:dyDescent="0.25">
      <c r="A48" s="187"/>
      <c r="B48" s="188"/>
      <c r="C48" s="195"/>
      <c r="D48" s="188"/>
      <c r="E48" s="159"/>
      <c r="F48" s="149" t="s">
        <v>189</v>
      </c>
    </row>
    <row r="49" spans="1:6" ht="15" customHeight="1" x14ac:dyDescent="0.2">
      <c r="A49" s="161" t="s">
        <v>169</v>
      </c>
      <c r="B49" s="139">
        <v>45546</v>
      </c>
      <c r="C49" s="192" t="s">
        <v>51</v>
      </c>
      <c r="D49" s="140" t="s">
        <v>53</v>
      </c>
      <c r="E49" s="162">
        <v>46000</v>
      </c>
      <c r="F49" s="150" t="s">
        <v>56</v>
      </c>
    </row>
    <row r="50" spans="1:6" ht="201" customHeight="1" thickBot="1" x14ac:dyDescent="0.25">
      <c r="A50" s="187"/>
      <c r="B50" s="188"/>
      <c r="C50" s="195"/>
      <c r="D50" s="188"/>
      <c r="E50" s="159"/>
      <c r="F50" s="149" t="s">
        <v>195</v>
      </c>
    </row>
    <row r="51" spans="1:6" ht="212" customHeight="1" thickBot="1" x14ac:dyDescent="0.25">
      <c r="A51" s="166" t="s">
        <v>170</v>
      </c>
      <c r="B51" s="136">
        <v>45700</v>
      </c>
      <c r="C51" s="185" t="s">
        <v>84</v>
      </c>
      <c r="D51" s="137" t="s">
        <v>118</v>
      </c>
      <c r="E51" s="157">
        <v>70800</v>
      </c>
      <c r="F51" s="138" t="s">
        <v>119</v>
      </c>
    </row>
    <row r="52" spans="1:6" ht="15" customHeight="1" x14ac:dyDescent="0.2">
      <c r="A52" s="167" t="s">
        <v>171</v>
      </c>
      <c r="B52" s="168">
        <v>45803</v>
      </c>
      <c r="C52" s="192" t="s">
        <v>103</v>
      </c>
      <c r="D52" s="140" t="s">
        <v>50</v>
      </c>
      <c r="E52" s="162">
        <v>54500</v>
      </c>
      <c r="F52" s="141" t="s">
        <v>68</v>
      </c>
    </row>
    <row r="53" spans="1:6" ht="202" customHeight="1" thickBot="1" x14ac:dyDescent="0.25">
      <c r="A53" s="187"/>
      <c r="B53" s="188"/>
      <c r="C53" s="195"/>
      <c r="D53" s="188"/>
      <c r="E53" s="159"/>
      <c r="F53" s="149" t="s">
        <v>185</v>
      </c>
    </row>
    <row r="54" spans="1:6" ht="16" customHeight="1" x14ac:dyDescent="0.2">
      <c r="A54" s="153"/>
      <c r="B54" s="128" t="s">
        <v>39</v>
      </c>
      <c r="C54" s="190" t="s">
        <v>61</v>
      </c>
      <c r="D54" s="128" t="s">
        <v>60</v>
      </c>
      <c r="E54" s="155" t="s">
        <v>66</v>
      </c>
      <c r="F54" s="132" t="s">
        <v>102</v>
      </c>
    </row>
    <row r="55" spans="1:6" ht="18" customHeight="1" thickBot="1" x14ac:dyDescent="0.25">
      <c r="B55" s="130"/>
      <c r="C55" s="191"/>
      <c r="D55" s="131"/>
      <c r="F55" s="133"/>
    </row>
    <row r="56" spans="1:6" ht="14" customHeight="1" x14ac:dyDescent="0.2">
      <c r="A56" s="167" t="s">
        <v>172</v>
      </c>
      <c r="B56" s="168">
        <v>45818</v>
      </c>
      <c r="C56" s="192" t="s">
        <v>110</v>
      </c>
      <c r="D56" s="140" t="s">
        <v>116</v>
      </c>
      <c r="E56" s="162">
        <v>47000</v>
      </c>
      <c r="F56" s="150" t="s">
        <v>115</v>
      </c>
    </row>
    <row r="57" spans="1:6" ht="200" customHeight="1" thickBot="1" x14ac:dyDescent="0.25">
      <c r="A57" s="169"/>
      <c r="B57" s="170"/>
      <c r="C57" s="194"/>
      <c r="D57" s="148"/>
      <c r="E57" s="165"/>
      <c r="F57" s="151" t="s">
        <v>100</v>
      </c>
    </row>
    <row r="58" spans="1:6" ht="210" customHeight="1" thickBot="1" x14ac:dyDescent="0.25">
      <c r="A58" s="166" t="s">
        <v>173</v>
      </c>
      <c r="B58" s="221">
        <v>45932</v>
      </c>
      <c r="C58" s="185" t="s">
        <v>142</v>
      </c>
      <c r="D58" s="137" t="s">
        <v>53</v>
      </c>
      <c r="E58" s="222">
        <v>45000</v>
      </c>
      <c r="F58" s="223" t="s">
        <v>43</v>
      </c>
    </row>
    <row r="59" spans="1:6" ht="15" customHeight="1" x14ac:dyDescent="0.2">
      <c r="A59" s="161" t="s">
        <v>174</v>
      </c>
      <c r="B59" s="168">
        <v>45951</v>
      </c>
      <c r="C59" s="192" t="s">
        <v>140</v>
      </c>
      <c r="D59" s="140" t="s">
        <v>50</v>
      </c>
      <c r="E59" s="162">
        <v>52000</v>
      </c>
      <c r="F59" s="141" t="s">
        <v>153</v>
      </c>
    </row>
    <row r="60" spans="1:6" ht="196" customHeight="1" thickBot="1" x14ac:dyDescent="0.25">
      <c r="A60" s="187"/>
      <c r="B60" s="188"/>
      <c r="C60" s="195"/>
      <c r="D60" s="188"/>
      <c r="E60" s="159"/>
      <c r="F60" s="149" t="s">
        <v>139</v>
      </c>
    </row>
    <row r="61" spans="1:6" ht="14" customHeight="1" x14ac:dyDescent="0.2">
      <c r="A61" s="161" t="s">
        <v>175</v>
      </c>
      <c r="B61" s="212">
        <v>45975</v>
      </c>
      <c r="C61" s="213" t="s">
        <v>147</v>
      </c>
      <c r="D61" s="214" t="s">
        <v>53</v>
      </c>
      <c r="E61" s="162">
        <v>40000</v>
      </c>
      <c r="F61" s="141" t="s">
        <v>190</v>
      </c>
    </row>
    <row r="62" spans="1:6" ht="14" customHeight="1" x14ac:dyDescent="0.2">
      <c r="A62" s="163"/>
      <c r="B62" s="215"/>
      <c r="C62" s="216"/>
      <c r="D62" s="217"/>
      <c r="E62" s="160"/>
      <c r="F62" s="145" t="s">
        <v>213</v>
      </c>
    </row>
    <row r="63" spans="1:6" ht="185" customHeight="1" thickBot="1" x14ac:dyDescent="0.25">
      <c r="A63" s="164"/>
      <c r="B63" s="218"/>
      <c r="C63" s="219"/>
      <c r="D63" s="220"/>
      <c r="E63" s="165"/>
      <c r="F63" s="149" t="s">
        <v>3</v>
      </c>
    </row>
    <row r="64" spans="1:6" ht="15" customHeight="1" x14ac:dyDescent="0.2">
      <c r="A64" s="153"/>
      <c r="B64" s="128" t="s">
        <v>39</v>
      </c>
      <c r="C64" s="190" t="s">
        <v>61</v>
      </c>
      <c r="D64" s="128" t="s">
        <v>60</v>
      </c>
      <c r="E64" s="155" t="s">
        <v>66</v>
      </c>
      <c r="F64" s="132" t="s">
        <v>102</v>
      </c>
    </row>
    <row r="65" spans="1:6" ht="14" customHeight="1" thickBot="1" x14ac:dyDescent="0.25">
      <c r="B65" s="130"/>
      <c r="C65" s="191"/>
      <c r="D65" s="131"/>
      <c r="F65" s="133"/>
    </row>
    <row r="66" spans="1:6" ht="221" customHeight="1" thickBot="1" x14ac:dyDescent="0.25">
      <c r="A66" s="166" t="s">
        <v>176</v>
      </c>
      <c r="B66" s="136">
        <v>45987</v>
      </c>
      <c r="C66" s="196" t="s">
        <v>150</v>
      </c>
      <c r="D66" s="171" t="s">
        <v>116</v>
      </c>
      <c r="E66" s="157">
        <v>48000</v>
      </c>
      <c r="F66" s="138" t="s">
        <v>146</v>
      </c>
    </row>
    <row r="67" spans="1:6" ht="206" customHeight="1" thickBot="1" x14ac:dyDescent="0.25">
      <c r="A67" s="184" t="s">
        <v>202</v>
      </c>
      <c r="B67" s="136">
        <v>46085</v>
      </c>
      <c r="C67" s="185" t="s">
        <v>186</v>
      </c>
      <c r="D67" s="186" t="s">
        <v>53</v>
      </c>
      <c r="E67" s="157">
        <v>43000</v>
      </c>
      <c r="F67" s="138" t="s">
        <v>3</v>
      </c>
    </row>
    <row r="68" spans="1:6" ht="205" customHeight="1" thickBot="1" x14ac:dyDescent="0.25">
      <c r="A68" s="184" t="s">
        <v>203</v>
      </c>
      <c r="B68" s="136">
        <v>46104</v>
      </c>
      <c r="C68" s="185" t="s">
        <v>191</v>
      </c>
      <c r="D68" s="185" t="s">
        <v>50</v>
      </c>
      <c r="E68" s="157">
        <v>46000</v>
      </c>
      <c r="F68" s="138" t="s">
        <v>211</v>
      </c>
    </row>
    <row r="69" spans="1:6" ht="219" customHeight="1" thickBot="1" x14ac:dyDescent="0.25">
      <c r="A69" s="184"/>
      <c r="B69" s="136"/>
      <c r="C69" s="185"/>
      <c r="D69" s="185"/>
      <c r="E69" s="157"/>
      <c r="F69" s="138"/>
    </row>
    <row r="70" spans="1:6" ht="142" customHeight="1" x14ac:dyDescent="0.2">
      <c r="A70" s="224"/>
      <c r="B70" s="143"/>
      <c r="C70" s="193"/>
      <c r="D70" s="193"/>
      <c r="E70" s="160"/>
    </row>
    <row r="71" spans="1:6" ht="142" customHeight="1" x14ac:dyDescent="0.2"/>
  </sheetData>
  <mergeCells count="1">
    <mergeCell ref="A1:F1"/>
  </mergeCells>
  <pageMargins left="0" right="0" top="0" bottom="0" header="0" footer="0"/>
  <pageSetup paperSize="9" scale="99" fitToWidth="0" fitToHeight="0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BBC3-BA8D-9E48-9E93-11A448CDDE9D}">
  <dimension ref="A2:L36"/>
  <sheetViews>
    <sheetView workbookViewId="0">
      <selection activeCell="I8" sqref="I8"/>
    </sheetView>
  </sheetViews>
  <sheetFormatPr baseColWidth="10" defaultRowHeight="15" x14ac:dyDescent="0.2"/>
  <cols>
    <col min="4" max="4" width="18.5" customWidth="1"/>
    <col min="5" max="5" width="21.6640625" customWidth="1"/>
    <col min="6" max="6" width="19.33203125" bestFit="1" customWidth="1"/>
    <col min="7" max="7" width="15.83203125" customWidth="1"/>
    <col min="9" max="9" width="11.83203125" bestFit="1" customWidth="1"/>
  </cols>
  <sheetData>
    <row r="2" spans="1:12" ht="21" x14ac:dyDescent="0.25">
      <c r="A2" s="225"/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</row>
    <row r="3" spans="1:12" ht="21" x14ac:dyDescent="0.25">
      <c r="A3" s="225"/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</row>
    <row r="4" spans="1:12" ht="21" x14ac:dyDescent="0.25">
      <c r="A4" s="225"/>
      <c r="B4" s="225"/>
      <c r="C4" s="225"/>
      <c r="D4" s="225" t="s">
        <v>61</v>
      </c>
      <c r="E4" s="225" t="s">
        <v>216</v>
      </c>
      <c r="F4" s="225" t="s">
        <v>218</v>
      </c>
      <c r="G4" s="225" t="s">
        <v>219</v>
      </c>
      <c r="H4" s="225"/>
      <c r="I4" s="225"/>
      <c r="J4" s="225"/>
      <c r="K4" s="225"/>
      <c r="L4" s="225"/>
    </row>
    <row r="5" spans="1:12" ht="21" x14ac:dyDescent="0.25">
      <c r="A5" s="225"/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</row>
    <row r="6" spans="1:12" ht="21" x14ac:dyDescent="0.25">
      <c r="A6" s="225"/>
      <c r="B6" s="225"/>
      <c r="C6" s="225"/>
      <c r="D6" s="230" t="s">
        <v>186</v>
      </c>
      <c r="E6" s="225"/>
      <c r="F6" s="225" t="s">
        <v>226</v>
      </c>
      <c r="G6" s="225" t="s">
        <v>220</v>
      </c>
      <c r="H6" s="225"/>
      <c r="I6" s="225"/>
      <c r="J6" s="225"/>
      <c r="K6" s="225"/>
      <c r="L6" s="225"/>
    </row>
    <row r="7" spans="1:12" ht="21" x14ac:dyDescent="0.25">
      <c r="A7" s="225"/>
      <c r="B7" s="225"/>
      <c r="C7" s="225"/>
      <c r="D7" s="225"/>
      <c r="E7" s="225"/>
      <c r="F7" s="225"/>
      <c r="G7" s="225"/>
      <c r="H7" s="225"/>
      <c r="I7" s="225"/>
      <c r="J7" s="225"/>
      <c r="K7" s="225"/>
      <c r="L7" s="225"/>
    </row>
    <row r="8" spans="1:12" ht="21" x14ac:dyDescent="0.25">
      <c r="A8" s="225"/>
      <c r="B8" s="225"/>
      <c r="C8" s="225"/>
      <c r="D8" s="225" t="s">
        <v>18</v>
      </c>
      <c r="E8" s="227">
        <v>46182</v>
      </c>
      <c r="F8" s="225" t="s">
        <v>217</v>
      </c>
      <c r="G8" s="225" t="s">
        <v>220</v>
      </c>
      <c r="H8" s="225"/>
      <c r="I8" s="225"/>
      <c r="J8" s="225"/>
      <c r="K8" s="225"/>
      <c r="L8" s="225"/>
    </row>
    <row r="9" spans="1:12" ht="21" x14ac:dyDescent="0.25">
      <c r="A9" s="225"/>
      <c r="B9" s="225"/>
      <c r="C9" s="225"/>
      <c r="D9" s="225" t="s">
        <v>18</v>
      </c>
      <c r="E9" s="231">
        <v>45926</v>
      </c>
      <c r="F9" s="7" t="s">
        <v>227</v>
      </c>
      <c r="G9" s="7" t="s">
        <v>223</v>
      </c>
      <c r="H9" s="225"/>
      <c r="I9" s="225"/>
      <c r="J9" s="225"/>
      <c r="K9" s="225"/>
      <c r="L9" s="225"/>
    </row>
    <row r="10" spans="1:12" ht="21" x14ac:dyDescent="0.25">
      <c r="A10" s="225"/>
      <c r="B10" s="225"/>
      <c r="C10" s="225"/>
      <c r="D10" s="225"/>
      <c r="E10" s="227"/>
      <c r="F10" s="225"/>
      <c r="G10" s="225"/>
      <c r="H10" s="225"/>
      <c r="I10" s="225"/>
      <c r="J10" s="225"/>
      <c r="K10" s="225"/>
      <c r="L10" s="225"/>
    </row>
    <row r="11" spans="1:12" ht="21" x14ac:dyDescent="0.25">
      <c r="A11" s="225"/>
      <c r="B11" s="225"/>
      <c r="C11" s="225"/>
      <c r="D11" s="225" t="s">
        <v>147</v>
      </c>
      <c r="E11" s="227">
        <v>46081</v>
      </c>
      <c r="F11" s="225" t="s">
        <v>221</v>
      </c>
      <c r="G11" s="225" t="s">
        <v>223</v>
      </c>
      <c r="H11" s="225"/>
      <c r="I11" s="225"/>
      <c r="J11" s="225"/>
      <c r="K11" s="225"/>
      <c r="L11" s="225"/>
    </row>
    <row r="12" spans="1:12" ht="21" x14ac:dyDescent="0.25">
      <c r="A12" s="225"/>
      <c r="B12" s="225"/>
      <c r="C12" s="225"/>
      <c r="D12" s="225"/>
      <c r="E12" s="225"/>
      <c r="F12" s="225"/>
      <c r="G12" s="225" t="s">
        <v>220</v>
      </c>
      <c r="H12" s="228">
        <v>1621</v>
      </c>
      <c r="I12" s="225"/>
      <c r="J12" s="225"/>
      <c r="K12" s="225"/>
      <c r="L12" s="225"/>
    </row>
    <row r="13" spans="1:12" ht="21" x14ac:dyDescent="0.25">
      <c r="A13" s="225"/>
      <c r="B13" s="225"/>
      <c r="C13" s="225"/>
      <c r="D13" s="225"/>
      <c r="E13" s="225"/>
      <c r="F13" s="225"/>
      <c r="G13" s="225"/>
      <c r="H13" s="225"/>
      <c r="I13" s="225"/>
      <c r="J13" s="225"/>
      <c r="K13" s="225"/>
      <c r="L13" s="225"/>
    </row>
    <row r="14" spans="1:12" ht="21" x14ac:dyDescent="0.25">
      <c r="A14" s="225"/>
      <c r="B14" s="225"/>
      <c r="C14" s="225"/>
      <c r="D14" s="225" t="s">
        <v>14</v>
      </c>
      <c r="E14" s="227">
        <v>46024</v>
      </c>
      <c r="F14" s="225" t="s">
        <v>222</v>
      </c>
      <c r="G14" s="225" t="s">
        <v>223</v>
      </c>
      <c r="I14" s="232" t="s">
        <v>229</v>
      </c>
      <c r="J14" s="225"/>
      <c r="K14" s="225"/>
      <c r="L14" s="225"/>
    </row>
    <row r="15" spans="1:12" ht="21" x14ac:dyDescent="0.25">
      <c r="A15" s="225"/>
      <c r="B15" s="225"/>
      <c r="C15" s="225"/>
      <c r="D15" s="225"/>
      <c r="E15" s="225"/>
      <c r="F15" s="225"/>
      <c r="G15" s="225"/>
      <c r="H15" s="225"/>
      <c r="I15" s="225"/>
      <c r="J15" s="225"/>
      <c r="K15" s="225"/>
      <c r="L15" s="225"/>
    </row>
    <row r="16" spans="1:12" ht="21" x14ac:dyDescent="0.25">
      <c r="A16" s="225"/>
      <c r="B16" s="225"/>
      <c r="C16" s="225"/>
      <c r="D16" s="225" t="s">
        <v>13</v>
      </c>
      <c r="E16" s="227">
        <v>45890</v>
      </c>
      <c r="F16" s="225" t="s">
        <v>224</v>
      </c>
      <c r="G16" s="225" t="s">
        <v>223</v>
      </c>
      <c r="H16" s="225"/>
      <c r="I16" s="225"/>
      <c r="J16" s="225"/>
      <c r="K16" s="225"/>
      <c r="L16" s="225"/>
    </row>
    <row r="17" spans="1:12" ht="21" x14ac:dyDescent="0.25">
      <c r="A17" s="225"/>
      <c r="B17" s="225"/>
      <c r="C17" s="225"/>
      <c r="D17" s="225"/>
      <c r="E17" s="225"/>
      <c r="F17" s="225"/>
      <c r="G17" s="225" t="s">
        <v>220</v>
      </c>
      <c r="H17" s="228">
        <v>1518</v>
      </c>
      <c r="I17" s="225"/>
      <c r="J17" s="225"/>
      <c r="K17" s="225"/>
      <c r="L17" s="225"/>
    </row>
    <row r="18" spans="1:12" ht="21" x14ac:dyDescent="0.25">
      <c r="A18" s="225"/>
      <c r="B18" s="225"/>
      <c r="C18" s="225"/>
      <c r="D18" s="225"/>
      <c r="E18" s="225"/>
      <c r="F18" s="225"/>
      <c r="G18" s="225"/>
      <c r="H18" s="225"/>
      <c r="I18" s="225"/>
      <c r="J18" s="225"/>
      <c r="K18" s="225"/>
      <c r="L18" s="225"/>
    </row>
    <row r="19" spans="1:12" ht="21" x14ac:dyDescent="0.25">
      <c r="A19" s="225"/>
      <c r="B19" s="225"/>
      <c r="C19" s="225"/>
      <c r="D19" s="225" t="s">
        <v>19</v>
      </c>
      <c r="E19" s="227">
        <v>45836</v>
      </c>
      <c r="F19" s="225" t="s">
        <v>225</v>
      </c>
      <c r="G19" s="225" t="s">
        <v>223</v>
      </c>
      <c r="H19" s="225"/>
      <c r="I19" s="225"/>
      <c r="J19" s="225"/>
      <c r="K19" s="225"/>
      <c r="L19" s="225"/>
    </row>
    <row r="20" spans="1:12" ht="21" x14ac:dyDescent="0.25">
      <c r="A20" s="225"/>
      <c r="B20" s="225"/>
      <c r="C20" s="225"/>
      <c r="D20" s="225"/>
      <c r="E20" s="225"/>
      <c r="F20" s="225"/>
      <c r="G20" s="225" t="s">
        <v>220</v>
      </c>
      <c r="H20" s="228">
        <v>1581</v>
      </c>
      <c r="I20" s="229">
        <v>11336.1</v>
      </c>
      <c r="J20" s="225"/>
      <c r="K20" s="225"/>
      <c r="L20" s="225"/>
    </row>
    <row r="21" spans="1:12" ht="21" x14ac:dyDescent="0.25">
      <c r="A21" s="225"/>
      <c r="B21" s="225"/>
      <c r="C21" s="225"/>
      <c r="D21" s="225"/>
      <c r="E21" s="225"/>
      <c r="F21" s="225"/>
      <c r="G21" s="225"/>
      <c r="H21" s="225"/>
      <c r="I21" s="225"/>
      <c r="J21" s="225"/>
      <c r="K21" s="225"/>
      <c r="L21" s="225"/>
    </row>
    <row r="22" spans="1:12" ht="21" x14ac:dyDescent="0.25">
      <c r="A22" s="225"/>
      <c r="B22" s="225"/>
      <c r="C22" s="225"/>
      <c r="D22" s="225"/>
      <c r="E22" s="225"/>
      <c r="F22" s="225"/>
      <c r="G22" s="225"/>
      <c r="H22" s="225"/>
      <c r="I22" s="225"/>
      <c r="J22" s="225"/>
      <c r="K22" s="225"/>
      <c r="L22" s="225"/>
    </row>
    <row r="23" spans="1:12" ht="21" x14ac:dyDescent="0.25">
      <c r="A23" s="225"/>
      <c r="B23" s="225"/>
      <c r="C23" s="225"/>
      <c r="D23" s="225"/>
      <c r="E23" s="225"/>
      <c r="F23" s="225"/>
      <c r="G23" s="225"/>
      <c r="H23" s="225"/>
      <c r="I23" s="225"/>
      <c r="J23" s="225"/>
      <c r="K23" s="225"/>
      <c r="L23" s="225"/>
    </row>
    <row r="24" spans="1:12" ht="21" x14ac:dyDescent="0.25">
      <c r="A24" s="225"/>
      <c r="B24" s="225"/>
      <c r="C24" s="225"/>
      <c r="D24" s="225"/>
      <c r="E24" s="225"/>
      <c r="F24" s="225"/>
      <c r="G24" s="225"/>
      <c r="H24" s="225"/>
      <c r="I24" s="225"/>
      <c r="J24" s="225"/>
      <c r="K24" s="225"/>
      <c r="L24" s="225"/>
    </row>
    <row r="25" spans="1:12" ht="21" x14ac:dyDescent="0.25">
      <c r="A25" s="225"/>
      <c r="B25" s="225"/>
      <c r="C25" s="225"/>
      <c r="D25" s="225"/>
      <c r="E25" s="225"/>
      <c r="F25" s="225"/>
      <c r="G25" s="225"/>
      <c r="H25" s="225"/>
      <c r="I25" s="225"/>
      <c r="J25" s="225"/>
      <c r="K25" s="225"/>
      <c r="L25" s="225"/>
    </row>
    <row r="26" spans="1:12" ht="21" x14ac:dyDescent="0.25">
      <c r="A26" s="225"/>
      <c r="B26" s="225"/>
      <c r="C26" s="225"/>
      <c r="D26" s="225"/>
      <c r="E26" s="225"/>
      <c r="F26" s="225"/>
      <c r="G26" s="225"/>
      <c r="H26" s="225"/>
      <c r="I26" s="225"/>
      <c r="J26" s="225"/>
      <c r="K26" s="225"/>
      <c r="L26" s="225"/>
    </row>
    <row r="27" spans="1:12" ht="21" x14ac:dyDescent="0.25">
      <c r="A27" s="225"/>
      <c r="B27" s="225"/>
      <c r="C27" s="225"/>
      <c r="D27" s="225"/>
      <c r="E27" s="225"/>
      <c r="F27" s="225"/>
      <c r="G27" s="225"/>
      <c r="H27" s="225"/>
      <c r="I27" s="225"/>
      <c r="J27" s="225"/>
      <c r="K27" s="225"/>
      <c r="L27" s="225"/>
    </row>
    <row r="28" spans="1:12" ht="21" x14ac:dyDescent="0.25">
      <c r="A28" s="225"/>
      <c r="B28" s="225"/>
      <c r="C28" s="225"/>
      <c r="D28" s="225"/>
      <c r="E28" s="225"/>
      <c r="F28" s="225"/>
      <c r="G28" s="225"/>
      <c r="H28" s="225"/>
      <c r="I28" s="225"/>
      <c r="J28" s="225"/>
      <c r="K28" s="225"/>
      <c r="L28" s="225"/>
    </row>
    <row r="29" spans="1:12" ht="21" x14ac:dyDescent="0.25">
      <c r="A29" s="225"/>
      <c r="B29" s="225"/>
      <c r="C29" s="225"/>
      <c r="D29" s="225"/>
      <c r="E29" s="225"/>
      <c r="F29" s="225"/>
      <c r="G29" s="225"/>
      <c r="H29" s="225"/>
      <c r="I29" s="225"/>
      <c r="J29" s="225"/>
      <c r="K29" s="225"/>
      <c r="L29" s="225"/>
    </row>
    <row r="30" spans="1:12" ht="21" x14ac:dyDescent="0.25">
      <c r="A30" s="225"/>
      <c r="B30" s="225"/>
      <c r="C30" s="225"/>
      <c r="D30" s="225"/>
      <c r="E30" s="225"/>
      <c r="F30" s="225"/>
      <c r="G30" s="225"/>
      <c r="H30" s="225"/>
      <c r="I30" s="225"/>
      <c r="J30" s="225"/>
      <c r="K30" s="225"/>
      <c r="L30" s="225"/>
    </row>
    <row r="31" spans="1:12" ht="21" x14ac:dyDescent="0.25">
      <c r="A31" s="225"/>
      <c r="B31" s="225"/>
      <c r="C31" s="225"/>
      <c r="D31" s="225"/>
      <c r="E31" s="225"/>
      <c r="F31" s="225"/>
      <c r="G31" s="225"/>
      <c r="H31" s="225"/>
      <c r="I31" s="225"/>
      <c r="J31" s="225"/>
      <c r="K31" s="225"/>
      <c r="L31" s="225"/>
    </row>
    <row r="32" spans="1:12" ht="21" x14ac:dyDescent="0.25">
      <c r="A32" s="225"/>
      <c r="B32" s="225"/>
      <c r="C32" s="225"/>
      <c r="D32" s="225"/>
      <c r="E32" s="225"/>
      <c r="F32" s="225"/>
      <c r="G32" s="225"/>
      <c r="H32" s="225"/>
      <c r="I32" s="225"/>
      <c r="J32" s="225"/>
      <c r="K32" s="225"/>
      <c r="L32" s="225"/>
    </row>
    <row r="33" spans="1:12" ht="21" x14ac:dyDescent="0.25">
      <c r="A33" s="225"/>
      <c r="B33" s="225"/>
      <c r="C33" s="225"/>
      <c r="D33" s="225"/>
      <c r="E33" s="225"/>
      <c r="F33" s="225"/>
      <c r="G33" s="225"/>
      <c r="H33" s="225"/>
      <c r="I33" s="225"/>
      <c r="J33" s="225"/>
      <c r="K33" s="225"/>
      <c r="L33" s="225"/>
    </row>
    <row r="34" spans="1:12" ht="21" x14ac:dyDescent="0.25">
      <c r="A34" s="225"/>
      <c r="B34" s="225"/>
      <c r="C34" s="225"/>
      <c r="D34" s="225"/>
      <c r="E34" s="225"/>
      <c r="F34" s="225"/>
      <c r="G34" s="225"/>
      <c r="H34" s="225"/>
      <c r="I34" s="225"/>
      <c r="J34" s="225"/>
      <c r="K34" s="225"/>
      <c r="L34" s="225"/>
    </row>
    <row r="35" spans="1:12" ht="21" x14ac:dyDescent="0.25">
      <c r="A35" s="225"/>
      <c r="B35" s="225"/>
      <c r="C35" s="225"/>
      <c r="D35" s="225"/>
      <c r="E35" s="225"/>
      <c r="F35" s="225"/>
      <c r="G35" s="225"/>
      <c r="H35" s="225"/>
      <c r="I35" s="225"/>
      <c r="J35" s="225"/>
      <c r="K35" s="225"/>
      <c r="L35" s="225"/>
    </row>
    <row r="36" spans="1:12" ht="21" x14ac:dyDescent="0.25">
      <c r="A36" s="225"/>
      <c r="B36" s="225"/>
      <c r="C36" s="225"/>
      <c r="D36" s="225"/>
      <c r="E36" s="225"/>
      <c r="F36" s="225"/>
      <c r="G36" s="225"/>
      <c r="H36" s="225"/>
      <c r="I36" s="225"/>
      <c r="J36" s="225"/>
      <c r="K36" s="225"/>
      <c r="L36" s="225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88F89-D767-AD48-BEC3-048CC6D3212E}">
  <dimension ref="A2:DV28"/>
  <sheetViews>
    <sheetView topLeftCell="A6" zoomScale="130" zoomScaleNormal="130" workbookViewId="0">
      <selection activeCell="J25" sqref="J25"/>
    </sheetView>
  </sheetViews>
  <sheetFormatPr baseColWidth="10" defaultRowHeight="15" x14ac:dyDescent="0.2"/>
  <cols>
    <col min="1" max="1" width="0.83203125" customWidth="1"/>
    <col min="2" max="2" width="7.33203125" style="1" bestFit="1" customWidth="1"/>
    <col min="3" max="3" width="8.6640625" style="5" bestFit="1" customWidth="1"/>
    <col min="4" max="4" width="8.33203125" style="5" bestFit="1" customWidth="1"/>
    <col min="5" max="5" width="5.5" style="1" bestFit="1" customWidth="1"/>
    <col min="6" max="6" width="10.33203125" style="1" bestFit="1" customWidth="1"/>
    <col min="7" max="7" width="8" style="5" bestFit="1" customWidth="1"/>
    <col min="8" max="8" width="8.83203125" style="5" bestFit="1" customWidth="1"/>
    <col min="9" max="9" width="7.5" style="1" bestFit="1" customWidth="1"/>
    <col min="10" max="10" width="4.1640625" style="1" customWidth="1"/>
    <col min="11" max="11" width="7.5" style="1" bestFit="1" customWidth="1"/>
    <col min="12" max="13" width="8.6640625" style="5" bestFit="1" customWidth="1"/>
    <col min="14" max="14" width="5.5" style="5" bestFit="1" customWidth="1"/>
    <col min="15" max="15" width="9.5" style="5" customWidth="1"/>
    <col min="16" max="17" width="11" style="5" bestFit="1" customWidth="1"/>
    <col min="18" max="18" width="6.6640625" style="1" bestFit="1" customWidth="1"/>
    <col min="19" max="19" width="5.6640625" style="1" customWidth="1"/>
    <col min="20" max="20" width="7.5" style="1" bestFit="1" customWidth="1"/>
    <col min="21" max="21" width="7.5" style="5" bestFit="1" customWidth="1"/>
    <col min="22" max="22" width="8.5" style="5" bestFit="1" customWidth="1"/>
    <col min="23" max="23" width="5.5" style="5" bestFit="1" customWidth="1"/>
    <col min="24" max="24" width="8.83203125" style="5" bestFit="1" customWidth="1"/>
    <col min="25" max="26" width="9" style="5" bestFit="1" customWidth="1"/>
    <col min="27" max="27" width="7.1640625" style="5" bestFit="1" customWidth="1"/>
    <col min="28" max="28" width="5.33203125" style="1" customWidth="1"/>
    <col min="29" max="29" width="4.33203125" style="1" customWidth="1"/>
    <col min="30" max="30" width="3.33203125" style="5" customWidth="1"/>
    <col min="31" max="31" width="4" style="5" customWidth="1"/>
    <col min="32" max="32" width="5.5" style="5" bestFit="1" customWidth="1"/>
    <col min="33" max="33" width="3.5" style="5" customWidth="1"/>
    <col min="34" max="34" width="4.83203125" style="5" customWidth="1"/>
    <col min="35" max="35" width="3.33203125" style="5" customWidth="1"/>
    <col min="36" max="36" width="3" style="5" customWidth="1"/>
    <col min="37" max="37" width="5" style="1" customWidth="1"/>
    <col min="38" max="38" width="10.83203125" style="1"/>
    <col min="39" max="39" width="8.6640625" style="5" bestFit="1" customWidth="1"/>
    <col min="40" max="40" width="8.33203125" style="5" bestFit="1" customWidth="1"/>
    <col min="41" max="41" width="5.5" style="5" bestFit="1" customWidth="1"/>
    <col min="42" max="42" width="8.6640625" style="5" bestFit="1" customWidth="1"/>
    <col min="43" max="44" width="8.83203125" style="5" bestFit="1" customWidth="1"/>
    <col min="45" max="45" width="6.6640625" style="5" bestFit="1" customWidth="1"/>
    <col min="46" max="46" width="5.1640625" style="1" customWidth="1"/>
    <col min="47" max="47" width="7.5" style="1" bestFit="1" customWidth="1"/>
    <col min="48" max="48" width="7.5" style="5" bestFit="1" customWidth="1"/>
    <col min="49" max="49" width="8.33203125" style="5" bestFit="1" customWidth="1"/>
    <col min="50" max="50" width="5.5" style="5" bestFit="1" customWidth="1"/>
    <col min="51" max="51" width="8.6640625" style="5" bestFit="1" customWidth="1"/>
    <col min="52" max="53" width="10.83203125" style="5"/>
    <col min="54" max="54" width="6.6640625" style="5" bestFit="1" customWidth="1"/>
    <col min="55" max="55" width="5" style="1" customWidth="1"/>
    <col min="56" max="56" width="7.5" style="1" bestFit="1" customWidth="1"/>
    <col min="57" max="58" width="8.6640625" style="5" bestFit="1" customWidth="1"/>
    <col min="59" max="59" width="5.5" style="5" bestFit="1" customWidth="1"/>
    <col min="60" max="60" width="9.33203125" style="5" bestFit="1" customWidth="1"/>
    <col min="61" max="62" width="8.83203125" style="5" bestFit="1" customWidth="1"/>
    <col min="63" max="63" width="6.6640625" style="5" bestFit="1" customWidth="1"/>
    <col min="64" max="64" width="4.6640625" style="1" customWidth="1"/>
    <col min="65" max="65" width="7.5" style="1" bestFit="1" customWidth="1"/>
    <col min="66" max="66" width="7.5" style="5" bestFit="1" customWidth="1"/>
    <col min="67" max="67" width="8.33203125" style="5" bestFit="1" customWidth="1"/>
    <col min="68" max="68" width="5.5" style="5" bestFit="1" customWidth="1"/>
    <col min="69" max="69" width="8.6640625" style="5" bestFit="1" customWidth="1"/>
    <col min="70" max="71" width="8.83203125" style="5" bestFit="1" customWidth="1"/>
    <col min="72" max="72" width="6.6640625" style="5" bestFit="1" customWidth="1"/>
    <col min="73" max="73" width="4.83203125" style="1" customWidth="1"/>
    <col min="74" max="74" width="10.83203125" style="1"/>
    <col min="75" max="75" width="7.5" style="1" bestFit="1" customWidth="1"/>
    <col min="76" max="76" width="8.33203125" style="1" bestFit="1" customWidth="1"/>
    <col min="77" max="77" width="5.5" style="1" bestFit="1" customWidth="1"/>
    <col min="78" max="78" width="8.6640625" style="1" bestFit="1" customWidth="1"/>
    <col min="79" max="80" width="8.83203125" style="5" bestFit="1" customWidth="1"/>
    <col min="81" max="81" width="6.6640625" style="1" bestFit="1" customWidth="1"/>
    <col min="82" max="82" width="5.33203125" style="1" customWidth="1"/>
    <col min="83" max="83" width="7.5" style="1" bestFit="1" customWidth="1"/>
    <col min="84" max="85" width="8.6640625" style="5" bestFit="1" customWidth="1"/>
    <col min="86" max="86" width="5.5" style="5" bestFit="1" customWidth="1"/>
    <col min="87" max="87" width="9.33203125" style="5" bestFit="1" customWidth="1"/>
    <col min="88" max="89" width="9" style="5" bestFit="1" customWidth="1"/>
    <col min="90" max="90" width="8.5" style="5" customWidth="1"/>
    <col min="91" max="91" width="5.5" style="1" customWidth="1"/>
    <col min="92" max="92" width="7.5" style="1" bestFit="1" customWidth="1"/>
    <col min="93" max="93" width="9.5" style="1" customWidth="1"/>
    <col min="94" max="94" width="8.33203125" style="1" bestFit="1" customWidth="1"/>
    <col min="95" max="95" width="6.1640625" style="1" customWidth="1"/>
    <col min="96" max="96" width="8.6640625" style="1" bestFit="1" customWidth="1"/>
    <col min="97" max="98" width="10.83203125" style="1"/>
    <col min="99" max="99" width="6.6640625" style="1" bestFit="1" customWidth="1"/>
    <col min="100" max="100" width="2.5" style="1" customWidth="1"/>
    <col min="101" max="101" width="7.83203125" customWidth="1"/>
    <col min="102" max="102" width="7.5" bestFit="1" customWidth="1"/>
    <col min="103" max="103" width="8.33203125" bestFit="1" customWidth="1"/>
    <col min="104" max="104" width="5.5" bestFit="1" customWidth="1"/>
    <col min="105" max="105" width="8.6640625" bestFit="1" customWidth="1"/>
    <col min="106" max="107" width="8.83203125" bestFit="1" customWidth="1"/>
    <col min="108" max="108" width="8" customWidth="1"/>
    <col min="109" max="109" width="6.1640625" customWidth="1"/>
    <col min="110" max="110" width="6.83203125" bestFit="1" customWidth="1"/>
    <col min="111" max="111" width="6.6640625" bestFit="1" customWidth="1"/>
    <col min="112" max="112" width="9.33203125" customWidth="1"/>
    <col min="113" max="113" width="5.5" bestFit="1" customWidth="1"/>
    <col min="114" max="114" width="8.6640625" bestFit="1" customWidth="1"/>
    <col min="115" max="116" width="8.83203125" bestFit="1" customWidth="1"/>
    <col min="117" max="117" width="7.1640625" bestFit="1" customWidth="1"/>
    <col min="118" max="118" width="5.33203125" customWidth="1"/>
    <col min="119" max="119" width="6.83203125" bestFit="1" customWidth="1"/>
    <col min="120" max="120" width="6.6640625" bestFit="1" customWidth="1"/>
    <col min="121" max="121" width="8.33203125" bestFit="1" customWidth="1"/>
    <col min="122" max="122" width="5.5" bestFit="1" customWidth="1"/>
    <col min="123" max="123" width="8.6640625" bestFit="1" customWidth="1"/>
    <col min="124" max="125" width="8.83203125" bestFit="1" customWidth="1"/>
    <col min="126" max="126" width="7.1640625" bestFit="1" customWidth="1"/>
  </cols>
  <sheetData>
    <row r="2" spans="1:126" x14ac:dyDescent="0.2">
      <c r="B2" s="239" t="s">
        <v>74</v>
      </c>
      <c r="C2" s="240"/>
      <c r="D2" s="240"/>
      <c r="E2" s="240"/>
      <c r="F2" s="240"/>
      <c r="G2" s="240"/>
      <c r="H2" s="241"/>
      <c r="I2" s="52"/>
      <c r="K2" s="267" t="s">
        <v>124</v>
      </c>
      <c r="L2" s="268"/>
      <c r="M2" s="268"/>
      <c r="N2" s="268"/>
      <c r="O2" s="268"/>
      <c r="P2" s="268"/>
      <c r="Q2" s="269"/>
      <c r="R2" s="119"/>
      <c r="T2" s="270" t="s">
        <v>7</v>
      </c>
      <c r="U2" s="271"/>
      <c r="V2" s="271"/>
      <c r="W2" s="271"/>
      <c r="X2" s="271"/>
      <c r="Y2" s="271"/>
      <c r="Z2" s="272"/>
      <c r="AA2" s="56"/>
      <c r="AC2" s="273" t="s">
        <v>90</v>
      </c>
      <c r="AD2" s="274"/>
      <c r="AE2" s="274"/>
      <c r="AF2" s="274"/>
      <c r="AG2" s="274"/>
      <c r="AH2" s="274"/>
      <c r="AI2" s="275"/>
      <c r="AJ2" s="71"/>
      <c r="AK2" s="39"/>
      <c r="AL2" s="254" t="s">
        <v>126</v>
      </c>
      <c r="AM2" s="255"/>
      <c r="AN2" s="255"/>
      <c r="AO2" s="255"/>
      <c r="AP2" s="255"/>
      <c r="AQ2" s="255"/>
      <c r="AR2" s="256"/>
      <c r="AS2" s="72"/>
      <c r="AT2" s="39"/>
      <c r="AU2" s="276" t="s">
        <v>131</v>
      </c>
      <c r="AV2" s="277"/>
      <c r="AW2" s="277"/>
      <c r="AX2" s="277"/>
      <c r="AY2" s="277"/>
      <c r="AZ2" s="277"/>
      <c r="BA2" s="278"/>
      <c r="BB2" s="58"/>
      <c r="BC2" s="39"/>
      <c r="BD2" s="279" t="s">
        <v>80</v>
      </c>
      <c r="BE2" s="280"/>
      <c r="BF2" s="280"/>
      <c r="BG2" s="280"/>
      <c r="BH2" s="280"/>
      <c r="BI2" s="280"/>
      <c r="BJ2" s="281"/>
      <c r="BK2" s="73"/>
      <c r="BM2" s="282" t="s">
        <v>28</v>
      </c>
      <c r="BN2" s="283"/>
      <c r="BO2" s="283"/>
      <c r="BP2" s="283"/>
      <c r="BQ2" s="283"/>
      <c r="BR2" s="283"/>
      <c r="BS2" s="284"/>
      <c r="BT2" s="74"/>
      <c r="BV2" s="285" t="s">
        <v>59</v>
      </c>
      <c r="BW2" s="285"/>
      <c r="BX2" s="285"/>
      <c r="BY2" s="285"/>
      <c r="BZ2" s="285"/>
      <c r="CA2" s="285"/>
      <c r="CB2" s="285"/>
      <c r="CE2" s="286" t="s">
        <v>97</v>
      </c>
      <c r="CF2" s="286"/>
      <c r="CG2" s="286"/>
      <c r="CH2" s="286"/>
      <c r="CI2" s="286"/>
      <c r="CJ2" s="286"/>
      <c r="CK2" s="286"/>
      <c r="CN2" s="266" t="s">
        <v>99</v>
      </c>
      <c r="CO2" s="266"/>
      <c r="CP2" s="266"/>
      <c r="CQ2" s="266"/>
      <c r="CR2" s="266"/>
      <c r="CS2" s="266"/>
      <c r="CT2" s="266"/>
      <c r="CW2" s="254" t="s">
        <v>78</v>
      </c>
      <c r="CX2" s="255"/>
      <c r="CY2" s="255"/>
      <c r="CZ2" s="255"/>
      <c r="DA2" s="255"/>
      <c r="DB2" s="255"/>
      <c r="DC2" s="256"/>
      <c r="DD2" s="72"/>
      <c r="DF2" s="236" t="s">
        <v>115</v>
      </c>
      <c r="DG2" s="237"/>
      <c r="DH2" s="237"/>
      <c r="DI2" s="237"/>
      <c r="DJ2" s="237"/>
      <c r="DK2" s="237"/>
      <c r="DL2" s="238"/>
      <c r="DM2" s="103"/>
      <c r="DO2" s="239" t="s">
        <v>119</v>
      </c>
      <c r="DP2" s="240"/>
      <c r="DQ2" s="240"/>
      <c r="DR2" s="240"/>
      <c r="DS2" s="240"/>
      <c r="DT2" s="240"/>
      <c r="DU2" s="241"/>
      <c r="DV2" s="114"/>
    </row>
    <row r="3" spans="1:126" ht="16" x14ac:dyDescent="0.2">
      <c r="A3" s="3"/>
      <c r="B3" s="248" t="s">
        <v>4</v>
      </c>
      <c r="C3" s="249"/>
      <c r="D3" s="249"/>
      <c r="E3" s="249"/>
      <c r="F3" s="249"/>
      <c r="G3" s="249"/>
      <c r="H3" s="250"/>
      <c r="I3" s="52"/>
      <c r="K3" s="290" t="s">
        <v>5</v>
      </c>
      <c r="L3" s="291"/>
      <c r="M3" s="291"/>
      <c r="N3" s="291"/>
      <c r="O3" s="291"/>
      <c r="P3" s="291"/>
      <c r="Q3" s="292"/>
      <c r="R3" s="119"/>
      <c r="T3" s="293" t="s">
        <v>46</v>
      </c>
      <c r="U3" s="294"/>
      <c r="V3" s="294"/>
      <c r="W3" s="294"/>
      <c r="X3" s="294"/>
      <c r="Y3" s="294"/>
      <c r="Z3" s="295"/>
      <c r="AA3" s="56"/>
      <c r="AC3" s="296" t="s">
        <v>9</v>
      </c>
      <c r="AD3" s="297"/>
      <c r="AE3" s="297"/>
      <c r="AF3" s="297"/>
      <c r="AG3" s="297"/>
      <c r="AH3" s="297"/>
      <c r="AI3" s="298"/>
      <c r="AJ3" s="71"/>
      <c r="AK3" s="39"/>
      <c r="AL3" s="257" t="s">
        <v>125</v>
      </c>
      <c r="AM3" s="258"/>
      <c r="AN3" s="258"/>
      <c r="AO3" s="258"/>
      <c r="AP3" s="258"/>
      <c r="AQ3" s="258"/>
      <c r="AR3" s="259"/>
      <c r="AS3" s="72"/>
      <c r="AT3" s="39"/>
      <c r="AU3" s="299" t="s">
        <v>42</v>
      </c>
      <c r="AV3" s="299"/>
      <c r="AW3" s="299"/>
      <c r="AX3" s="299"/>
      <c r="AY3" s="299"/>
      <c r="AZ3" s="299"/>
      <c r="BA3" s="299"/>
      <c r="BB3" s="59"/>
      <c r="BC3" s="39"/>
      <c r="BD3" s="300" t="s">
        <v>35</v>
      </c>
      <c r="BE3" s="301"/>
      <c r="BF3" s="301"/>
      <c r="BG3" s="301"/>
      <c r="BH3" s="301"/>
      <c r="BI3" s="301"/>
      <c r="BJ3" s="302"/>
      <c r="BK3" s="73"/>
      <c r="BM3" s="282" t="s">
        <v>33</v>
      </c>
      <c r="BN3" s="283"/>
      <c r="BO3" s="283"/>
      <c r="BP3" s="283"/>
      <c r="BQ3" s="283"/>
      <c r="BR3" s="283"/>
      <c r="BS3" s="284"/>
      <c r="BT3" s="74"/>
      <c r="BV3" s="303" t="s">
        <v>36</v>
      </c>
      <c r="BW3" s="304"/>
      <c r="BX3" s="304"/>
      <c r="BY3" s="304"/>
      <c r="BZ3" s="304"/>
      <c r="CA3" s="304"/>
      <c r="CB3" s="305"/>
      <c r="CE3" s="306" t="s">
        <v>73</v>
      </c>
      <c r="CF3" s="307"/>
      <c r="CG3" s="307"/>
      <c r="CH3" s="307"/>
      <c r="CI3" s="307"/>
      <c r="CJ3" s="307"/>
      <c r="CK3" s="308"/>
      <c r="CN3" s="287" t="s">
        <v>58</v>
      </c>
      <c r="CO3" s="288"/>
      <c r="CP3" s="288"/>
      <c r="CQ3" s="288"/>
      <c r="CR3" s="288"/>
      <c r="CS3" s="288"/>
      <c r="CT3" s="289"/>
      <c r="CW3" s="257" t="s">
        <v>107</v>
      </c>
      <c r="CX3" s="258"/>
      <c r="CY3" s="258"/>
      <c r="CZ3" s="258"/>
      <c r="DA3" s="258"/>
      <c r="DB3" s="258"/>
      <c r="DC3" s="259"/>
      <c r="DD3" s="72"/>
      <c r="DF3" s="242" t="s">
        <v>136</v>
      </c>
      <c r="DG3" s="243"/>
      <c r="DH3" s="243"/>
      <c r="DI3" s="243"/>
      <c r="DJ3" s="243"/>
      <c r="DK3" s="243"/>
      <c r="DL3" s="244"/>
      <c r="DM3" s="104"/>
      <c r="DO3" s="248" t="s">
        <v>137</v>
      </c>
      <c r="DP3" s="249"/>
      <c r="DQ3" s="249"/>
      <c r="DR3" s="249"/>
      <c r="DS3" s="249"/>
      <c r="DT3" s="249"/>
      <c r="DU3" s="250"/>
      <c r="DV3" s="115"/>
    </row>
    <row r="4" spans="1:126" ht="16" x14ac:dyDescent="0.2">
      <c r="A4" s="3"/>
      <c r="B4" s="248" t="s">
        <v>75</v>
      </c>
      <c r="C4" s="249"/>
      <c r="D4" s="249"/>
      <c r="E4" s="249"/>
      <c r="F4" s="249"/>
      <c r="G4" s="249"/>
      <c r="H4" s="250"/>
      <c r="I4" s="52"/>
      <c r="K4" s="290" t="s">
        <v>76</v>
      </c>
      <c r="L4" s="291"/>
      <c r="M4" s="291"/>
      <c r="N4" s="291"/>
      <c r="O4" s="291"/>
      <c r="P4" s="291"/>
      <c r="Q4" s="292"/>
      <c r="R4" s="119"/>
      <c r="T4" s="293" t="s">
        <v>62</v>
      </c>
      <c r="U4" s="294"/>
      <c r="V4" s="294"/>
      <c r="W4" s="294"/>
      <c r="X4" s="294"/>
      <c r="Y4" s="294"/>
      <c r="Z4" s="295"/>
      <c r="AA4" s="56"/>
      <c r="AC4" s="296" t="s">
        <v>77</v>
      </c>
      <c r="AD4" s="297"/>
      <c r="AE4" s="297"/>
      <c r="AF4" s="297"/>
      <c r="AG4" s="297"/>
      <c r="AH4" s="297"/>
      <c r="AI4" s="298"/>
      <c r="AJ4" s="71"/>
      <c r="AK4" s="39"/>
      <c r="AL4" s="257" t="s">
        <v>79</v>
      </c>
      <c r="AM4" s="258"/>
      <c r="AN4" s="258"/>
      <c r="AO4" s="258"/>
      <c r="AP4" s="258"/>
      <c r="AQ4" s="258"/>
      <c r="AR4" s="259"/>
      <c r="AS4" s="72"/>
      <c r="AT4" s="39"/>
      <c r="AU4" s="310" t="s">
        <v>37</v>
      </c>
      <c r="AV4" s="311"/>
      <c r="AW4" s="311"/>
      <c r="AX4" s="311"/>
      <c r="AY4" s="311"/>
      <c r="AZ4" s="311"/>
      <c r="BA4" s="312"/>
      <c r="BB4" s="58"/>
      <c r="BC4" s="39"/>
      <c r="BD4" s="300" t="s">
        <v>81</v>
      </c>
      <c r="BE4" s="301"/>
      <c r="BF4" s="301"/>
      <c r="BG4" s="301"/>
      <c r="BH4" s="301"/>
      <c r="BI4" s="301"/>
      <c r="BJ4" s="302"/>
      <c r="BK4" s="73"/>
      <c r="BM4" s="313" t="s">
        <v>38</v>
      </c>
      <c r="BN4" s="314"/>
      <c r="BO4" s="314"/>
      <c r="BP4" s="314"/>
      <c r="BQ4" s="314"/>
      <c r="BR4" s="314"/>
      <c r="BS4" s="315"/>
      <c r="BT4" s="74"/>
      <c r="BV4" s="316" t="s">
        <v>63</v>
      </c>
      <c r="BW4" s="316"/>
      <c r="BX4" s="316"/>
      <c r="BY4" s="316"/>
      <c r="BZ4" s="316"/>
      <c r="CA4" s="316"/>
      <c r="CB4" s="316"/>
      <c r="CE4" s="317" t="s">
        <v>82</v>
      </c>
      <c r="CF4" s="317"/>
      <c r="CG4" s="317"/>
      <c r="CH4" s="317"/>
      <c r="CI4" s="317"/>
      <c r="CJ4" s="317"/>
      <c r="CK4" s="317"/>
      <c r="CN4" s="309" t="s">
        <v>57</v>
      </c>
      <c r="CO4" s="309"/>
      <c r="CP4" s="309"/>
      <c r="CQ4" s="309"/>
      <c r="CR4" s="309"/>
      <c r="CS4" s="309"/>
      <c r="CT4" s="309"/>
      <c r="CW4" s="257"/>
      <c r="CX4" s="258"/>
      <c r="CY4" s="258"/>
      <c r="CZ4" s="258"/>
      <c r="DA4" s="258"/>
      <c r="DB4" s="258"/>
      <c r="DC4" s="259"/>
      <c r="DD4" s="72"/>
      <c r="DF4" s="242"/>
      <c r="DG4" s="243"/>
      <c r="DH4" s="243"/>
      <c r="DI4" s="243"/>
      <c r="DJ4" s="243"/>
      <c r="DK4" s="243"/>
      <c r="DL4" s="244"/>
      <c r="DM4" s="104"/>
      <c r="DO4" s="248"/>
      <c r="DP4" s="249"/>
      <c r="DQ4" s="249"/>
      <c r="DR4" s="249"/>
      <c r="DS4" s="249"/>
      <c r="DT4" s="249"/>
      <c r="DU4" s="250"/>
      <c r="DV4" s="115"/>
    </row>
    <row r="5" spans="1:126" ht="7" customHeight="1" x14ac:dyDescent="0.25">
      <c r="A5" s="3"/>
      <c r="B5" s="18"/>
      <c r="C5" s="19"/>
      <c r="D5" s="19"/>
      <c r="E5" s="19"/>
      <c r="F5" s="19"/>
      <c r="G5" s="19"/>
      <c r="H5" s="20"/>
      <c r="I5" s="19"/>
      <c r="K5" s="90"/>
      <c r="L5" s="19"/>
      <c r="M5" s="19"/>
      <c r="N5" s="19"/>
      <c r="O5" s="19"/>
      <c r="P5" s="19"/>
      <c r="Q5" s="20"/>
      <c r="R5" s="19"/>
      <c r="T5" s="18"/>
      <c r="U5" s="19"/>
      <c r="V5" s="19"/>
      <c r="W5" s="19"/>
      <c r="X5" s="19"/>
      <c r="Y5" s="19"/>
      <c r="Z5" s="20"/>
      <c r="AA5" s="19"/>
      <c r="AC5" s="18"/>
      <c r="AD5" s="19"/>
      <c r="AE5" s="19"/>
      <c r="AF5" s="19"/>
      <c r="AG5" s="19"/>
      <c r="AH5" s="19"/>
      <c r="AI5" s="20"/>
      <c r="AJ5" s="19"/>
      <c r="AK5" s="26"/>
      <c r="AL5" s="18"/>
      <c r="AM5" s="19"/>
      <c r="AN5" s="19"/>
      <c r="AO5" s="19"/>
      <c r="AP5" s="19"/>
      <c r="AQ5" s="19"/>
      <c r="AR5" s="20"/>
      <c r="AS5" s="19"/>
      <c r="AT5" s="26"/>
      <c r="AU5" s="18"/>
      <c r="AV5" s="19"/>
      <c r="AW5" s="19"/>
      <c r="AX5" s="19"/>
      <c r="AY5" s="19"/>
      <c r="AZ5" s="19"/>
      <c r="BA5" s="20"/>
      <c r="BB5" s="19"/>
      <c r="BC5" s="26"/>
      <c r="BD5" s="18"/>
      <c r="BE5" s="19"/>
      <c r="BF5" s="19"/>
      <c r="BG5" s="19"/>
      <c r="BH5" s="19"/>
      <c r="BI5" s="19"/>
      <c r="BJ5" s="20"/>
      <c r="BK5" s="19"/>
      <c r="BM5" s="18"/>
      <c r="BN5" s="19"/>
      <c r="BO5" s="19"/>
      <c r="BP5" s="19"/>
      <c r="BQ5" s="19"/>
      <c r="BR5" s="19"/>
      <c r="BS5" s="20"/>
      <c r="BT5" s="19"/>
      <c r="CW5" s="18"/>
      <c r="CX5" s="19"/>
      <c r="CY5" s="19"/>
      <c r="CZ5" s="19"/>
      <c r="DA5" s="19"/>
      <c r="DB5" s="19"/>
      <c r="DC5" s="20"/>
      <c r="DD5" s="19"/>
      <c r="DF5" s="105"/>
      <c r="DG5" s="106"/>
      <c r="DH5" s="106"/>
      <c r="DI5" s="106"/>
      <c r="DJ5" s="106"/>
      <c r="DK5" s="106"/>
      <c r="DL5" s="107"/>
      <c r="DM5" s="106"/>
      <c r="DO5" s="116"/>
      <c r="DP5" s="117"/>
      <c r="DQ5" s="117"/>
      <c r="DR5" s="117"/>
      <c r="DS5" s="117"/>
      <c r="DT5" s="117"/>
      <c r="DU5" s="118"/>
      <c r="DV5" s="117"/>
    </row>
    <row r="6" spans="1:126" ht="16" x14ac:dyDescent="0.2">
      <c r="A6" s="3"/>
      <c r="B6" s="251" t="s">
        <v>0</v>
      </c>
      <c r="C6" s="252"/>
      <c r="D6" s="252"/>
      <c r="E6" s="252"/>
      <c r="F6" s="252"/>
      <c r="G6" s="252"/>
      <c r="H6" s="253"/>
      <c r="I6" s="53"/>
      <c r="K6" s="322" t="s">
        <v>0</v>
      </c>
      <c r="L6" s="323"/>
      <c r="M6" s="323"/>
      <c r="N6" s="323"/>
      <c r="O6" s="323"/>
      <c r="P6" s="323"/>
      <c r="Q6" s="324"/>
      <c r="R6" s="120"/>
      <c r="T6" s="325" t="s">
        <v>0</v>
      </c>
      <c r="U6" s="326"/>
      <c r="V6" s="326"/>
      <c r="W6" s="326"/>
      <c r="X6" s="326"/>
      <c r="Y6" s="326"/>
      <c r="Z6" s="327"/>
      <c r="AA6" s="55"/>
      <c r="AC6" s="328" t="s">
        <v>0</v>
      </c>
      <c r="AD6" s="329"/>
      <c r="AE6" s="329"/>
      <c r="AF6" s="329"/>
      <c r="AG6" s="329"/>
      <c r="AH6" s="329"/>
      <c r="AI6" s="330"/>
      <c r="AJ6" s="57"/>
      <c r="AK6" s="40"/>
      <c r="AL6" s="260" t="s">
        <v>0</v>
      </c>
      <c r="AM6" s="261"/>
      <c r="AN6" s="261"/>
      <c r="AO6" s="261"/>
      <c r="AP6" s="261"/>
      <c r="AQ6" s="261"/>
      <c r="AR6" s="262"/>
      <c r="AS6" s="46"/>
      <c r="AT6" s="40"/>
      <c r="AU6" s="331" t="s">
        <v>0</v>
      </c>
      <c r="AV6" s="332"/>
      <c r="AW6" s="332"/>
      <c r="AX6" s="332"/>
      <c r="AY6" s="332"/>
      <c r="AZ6" s="332"/>
      <c r="BA6" s="333"/>
      <c r="BB6" s="31"/>
      <c r="BC6" s="40"/>
      <c r="BD6" s="334" t="s">
        <v>0</v>
      </c>
      <c r="BE6" s="335"/>
      <c r="BF6" s="335"/>
      <c r="BG6" s="335"/>
      <c r="BH6" s="335"/>
      <c r="BI6" s="335"/>
      <c r="BJ6" s="336"/>
      <c r="BK6" s="34"/>
      <c r="BM6" s="337" t="s">
        <v>0</v>
      </c>
      <c r="BN6" s="338"/>
      <c r="BO6" s="338"/>
      <c r="BP6" s="338"/>
      <c r="BQ6" s="338"/>
      <c r="BR6" s="338"/>
      <c r="BS6" s="339"/>
      <c r="BT6" s="37"/>
      <c r="BV6" s="340" t="s">
        <v>0</v>
      </c>
      <c r="BW6" s="341"/>
      <c r="BX6" s="341"/>
      <c r="BY6" s="341"/>
      <c r="BZ6" s="341"/>
      <c r="CA6" s="341"/>
      <c r="CB6" s="342"/>
      <c r="CE6" s="343" t="s">
        <v>0</v>
      </c>
      <c r="CF6" s="344"/>
      <c r="CG6" s="344"/>
      <c r="CH6" s="344"/>
      <c r="CI6" s="344"/>
      <c r="CJ6" s="344"/>
      <c r="CK6" s="345"/>
      <c r="CN6" s="319" t="s">
        <v>0</v>
      </c>
      <c r="CO6" s="320"/>
      <c r="CP6" s="320"/>
      <c r="CQ6" s="320"/>
      <c r="CR6" s="320"/>
      <c r="CS6" s="320"/>
      <c r="CT6" s="321"/>
      <c r="CU6" s="5"/>
      <c r="CV6" s="5"/>
      <c r="CW6" s="260" t="s">
        <v>0</v>
      </c>
      <c r="CX6" s="261"/>
      <c r="CY6" s="261"/>
      <c r="CZ6" s="261"/>
      <c r="DA6" s="261"/>
      <c r="DB6" s="261"/>
      <c r="DC6" s="262"/>
      <c r="DD6" s="46"/>
      <c r="DF6" s="245" t="s">
        <v>0</v>
      </c>
      <c r="DG6" s="246"/>
      <c r="DH6" s="246"/>
      <c r="DI6" s="246"/>
      <c r="DJ6" s="246"/>
      <c r="DK6" s="246"/>
      <c r="DL6" s="247"/>
      <c r="DM6" s="108"/>
      <c r="DO6" s="251" t="s">
        <v>0</v>
      </c>
      <c r="DP6" s="252"/>
      <c r="DQ6" s="252"/>
      <c r="DR6" s="252"/>
      <c r="DS6" s="252"/>
      <c r="DT6" s="252"/>
      <c r="DU6" s="253"/>
      <c r="DV6" s="54"/>
    </row>
    <row r="7" spans="1:126" ht="16" x14ac:dyDescent="0.2">
      <c r="A7" s="3"/>
      <c r="B7" s="2" t="s">
        <v>1</v>
      </c>
      <c r="C7" s="16" t="s">
        <v>34</v>
      </c>
      <c r="D7" s="16" t="s">
        <v>6</v>
      </c>
      <c r="E7" s="16" t="s">
        <v>8</v>
      </c>
      <c r="F7" s="17" t="s">
        <v>70</v>
      </c>
      <c r="G7" s="17" t="s">
        <v>69</v>
      </c>
      <c r="H7" s="17" t="s">
        <v>32</v>
      </c>
      <c r="I7" s="54"/>
      <c r="K7" s="121" t="s">
        <v>1</v>
      </c>
      <c r="L7" s="122" t="s">
        <v>34</v>
      </c>
      <c r="M7" s="122" t="s">
        <v>6</v>
      </c>
      <c r="N7" s="122" t="s">
        <v>8</v>
      </c>
      <c r="O7" s="123" t="s">
        <v>2</v>
      </c>
      <c r="P7" s="123" t="s">
        <v>31</v>
      </c>
      <c r="Q7" s="123" t="s">
        <v>32</v>
      </c>
      <c r="R7" s="124"/>
      <c r="T7" s="6" t="s">
        <v>1</v>
      </c>
      <c r="U7" s="70" t="s">
        <v>34</v>
      </c>
      <c r="V7" s="70" t="s">
        <v>6</v>
      </c>
      <c r="W7" s="70" t="s">
        <v>8</v>
      </c>
      <c r="X7" s="25" t="s">
        <v>2</v>
      </c>
      <c r="Y7" s="25" t="s">
        <v>31</v>
      </c>
      <c r="Z7" s="25" t="s">
        <v>32</v>
      </c>
      <c r="AA7" s="55"/>
      <c r="AC7" s="27" t="s">
        <v>1</v>
      </c>
      <c r="AD7" s="57" t="s">
        <v>34</v>
      </c>
      <c r="AE7" s="57" t="s">
        <v>6</v>
      </c>
      <c r="AF7" s="57" t="s">
        <v>8</v>
      </c>
      <c r="AG7" s="28" t="s">
        <v>2</v>
      </c>
      <c r="AH7" s="28" t="s">
        <v>31</v>
      </c>
      <c r="AI7" s="28" t="s">
        <v>32</v>
      </c>
      <c r="AJ7" s="57"/>
      <c r="AK7" s="41"/>
      <c r="AL7" s="22" t="s">
        <v>1</v>
      </c>
      <c r="AM7" s="23" t="s">
        <v>34</v>
      </c>
      <c r="AN7" s="23" t="s">
        <v>6</v>
      </c>
      <c r="AO7" s="23" t="s">
        <v>8</v>
      </c>
      <c r="AP7" s="24" t="s">
        <v>2</v>
      </c>
      <c r="AQ7" s="24" t="s">
        <v>31</v>
      </c>
      <c r="AR7" s="24" t="s">
        <v>32</v>
      </c>
      <c r="AS7" s="46"/>
      <c r="AT7" s="41"/>
      <c r="AU7" s="30" t="s">
        <v>1</v>
      </c>
      <c r="AV7" s="31" t="s">
        <v>34</v>
      </c>
      <c r="AW7" s="31" t="s">
        <v>6</v>
      </c>
      <c r="AX7" s="31" t="s">
        <v>8</v>
      </c>
      <c r="AY7" s="32" t="s">
        <v>2</v>
      </c>
      <c r="AZ7" s="32" t="s">
        <v>31</v>
      </c>
      <c r="BA7" s="32" t="s">
        <v>32</v>
      </c>
      <c r="BB7" s="31"/>
      <c r="BC7" s="41"/>
      <c r="BD7" s="33" t="s">
        <v>1</v>
      </c>
      <c r="BE7" s="34" t="s">
        <v>34</v>
      </c>
      <c r="BF7" s="34" t="s">
        <v>6</v>
      </c>
      <c r="BG7" s="34" t="s">
        <v>8</v>
      </c>
      <c r="BH7" s="35" t="s">
        <v>2</v>
      </c>
      <c r="BI7" s="35" t="s">
        <v>31</v>
      </c>
      <c r="BJ7" s="35" t="s">
        <v>32</v>
      </c>
      <c r="BK7" s="34"/>
      <c r="BM7" s="36" t="s">
        <v>1</v>
      </c>
      <c r="BN7" s="37" t="s">
        <v>34</v>
      </c>
      <c r="BO7" s="37" t="s">
        <v>6</v>
      </c>
      <c r="BP7" s="37" t="s">
        <v>8</v>
      </c>
      <c r="BQ7" s="38" t="s">
        <v>2</v>
      </c>
      <c r="BR7" s="38" t="s">
        <v>31</v>
      </c>
      <c r="BS7" s="38" t="s">
        <v>32</v>
      </c>
      <c r="BT7" s="37"/>
      <c r="BV7" s="87" t="s">
        <v>1</v>
      </c>
      <c r="BW7" s="88" t="s">
        <v>34</v>
      </c>
      <c r="BX7" s="88" t="s">
        <v>6</v>
      </c>
      <c r="BY7" s="88" t="s">
        <v>8</v>
      </c>
      <c r="BZ7" s="89" t="s">
        <v>2</v>
      </c>
      <c r="CA7" s="89" t="s">
        <v>31</v>
      </c>
      <c r="CB7" s="89" t="s">
        <v>32</v>
      </c>
      <c r="CE7" s="47" t="s">
        <v>1</v>
      </c>
      <c r="CF7" s="48" t="s">
        <v>34</v>
      </c>
      <c r="CG7" s="48" t="s">
        <v>6</v>
      </c>
      <c r="CH7" s="48" t="s">
        <v>8</v>
      </c>
      <c r="CI7" s="49" t="s">
        <v>2</v>
      </c>
      <c r="CJ7" s="49" t="s">
        <v>31</v>
      </c>
      <c r="CK7" s="49" t="s">
        <v>32</v>
      </c>
      <c r="CN7" s="91" t="s">
        <v>1</v>
      </c>
      <c r="CO7" s="92" t="s">
        <v>34</v>
      </c>
      <c r="CP7" s="92" t="s">
        <v>6</v>
      </c>
      <c r="CQ7" s="92" t="s">
        <v>8</v>
      </c>
      <c r="CR7" s="93" t="s">
        <v>2</v>
      </c>
      <c r="CS7" s="93" t="s">
        <v>31</v>
      </c>
      <c r="CT7" s="93" t="s">
        <v>32</v>
      </c>
      <c r="CU7" s="5"/>
      <c r="CV7" s="5"/>
      <c r="CW7" s="22" t="s">
        <v>1</v>
      </c>
      <c r="CX7" s="23" t="s">
        <v>34</v>
      </c>
      <c r="CY7" s="23" t="s">
        <v>6</v>
      </c>
      <c r="CZ7" s="23" t="s">
        <v>8</v>
      </c>
      <c r="DA7" s="24" t="s">
        <v>2</v>
      </c>
      <c r="DB7" s="24" t="s">
        <v>31</v>
      </c>
      <c r="DC7" s="24" t="s">
        <v>32</v>
      </c>
      <c r="DD7" s="46"/>
      <c r="DF7" s="109" t="s">
        <v>1</v>
      </c>
      <c r="DG7" s="110" t="s">
        <v>34</v>
      </c>
      <c r="DH7" s="110" t="s">
        <v>6</v>
      </c>
      <c r="DI7" s="110" t="s">
        <v>8</v>
      </c>
      <c r="DJ7" s="111" t="s">
        <v>2</v>
      </c>
      <c r="DK7" s="111" t="s">
        <v>31</v>
      </c>
      <c r="DL7" s="111" t="s">
        <v>32</v>
      </c>
      <c r="DM7" s="108"/>
      <c r="DO7" s="2" t="s">
        <v>1</v>
      </c>
      <c r="DP7" s="16" t="s">
        <v>34</v>
      </c>
      <c r="DQ7" s="16" t="s">
        <v>6</v>
      </c>
      <c r="DR7" s="16" t="s">
        <v>8</v>
      </c>
      <c r="DS7" s="17" t="s">
        <v>2</v>
      </c>
      <c r="DT7" s="17" t="s">
        <v>31</v>
      </c>
      <c r="DU7" s="17" t="s">
        <v>32</v>
      </c>
      <c r="DV7" s="54"/>
    </row>
    <row r="8" spans="1:126" ht="16" x14ac:dyDescent="0.2">
      <c r="A8" s="3"/>
      <c r="B8" s="4"/>
      <c r="C8" s="67"/>
      <c r="D8" s="67"/>
      <c r="E8" s="4"/>
      <c r="F8" s="4"/>
      <c r="G8" s="67"/>
      <c r="H8" s="67"/>
      <c r="I8" s="78"/>
      <c r="J8" s="4"/>
      <c r="K8" s="4"/>
      <c r="CU8" s="5"/>
      <c r="CV8" s="5"/>
    </row>
    <row r="9" spans="1:126" ht="16" x14ac:dyDescent="0.2">
      <c r="A9" s="3"/>
      <c r="B9" s="4"/>
      <c r="C9" s="67"/>
      <c r="D9" s="67"/>
      <c r="E9" s="4"/>
      <c r="F9" s="4"/>
      <c r="G9" s="67"/>
      <c r="H9" s="67"/>
      <c r="I9" s="81"/>
      <c r="J9" s="4"/>
      <c r="K9" s="4"/>
      <c r="R9" s="5"/>
      <c r="BV9" s="21">
        <v>46012</v>
      </c>
      <c r="BW9" s="5">
        <v>64376</v>
      </c>
      <c r="CC9" s="5"/>
      <c r="CD9" s="5"/>
      <c r="CT9" s="21">
        <v>45557</v>
      </c>
      <c r="CU9" s="5">
        <v>27278</v>
      </c>
      <c r="CV9" s="5"/>
    </row>
    <row r="10" spans="1:126" ht="16" x14ac:dyDescent="0.2">
      <c r="A10" s="3"/>
      <c r="B10" s="69">
        <v>45658</v>
      </c>
      <c r="C10" s="67">
        <v>97161</v>
      </c>
      <c r="D10" s="5">
        <v>94800</v>
      </c>
      <c r="E10" s="4">
        <v>28</v>
      </c>
      <c r="F10" s="67">
        <f>C10-D10</f>
        <v>2361</v>
      </c>
      <c r="G10" s="67">
        <f t="shared" ref="G10:G22" si="0">F10/E10</f>
        <v>84.321428571428569</v>
      </c>
      <c r="H10" s="67">
        <f t="shared" ref="H10:H22" si="1">G10*30</f>
        <v>2529.6428571428569</v>
      </c>
      <c r="I10" s="79"/>
      <c r="J10" s="4"/>
      <c r="K10" s="4" t="s">
        <v>64</v>
      </c>
      <c r="L10" s="67">
        <v>100166</v>
      </c>
      <c r="M10" s="67">
        <f t="shared" ref="M10:M22" si="2">L9</f>
        <v>0</v>
      </c>
      <c r="N10" s="67"/>
      <c r="O10" s="67">
        <f t="shared" ref="O10:O22" si="3">L10-M10</f>
        <v>100166</v>
      </c>
      <c r="P10" s="67" t="e">
        <f t="shared" ref="P10:P22" si="4">O10/N10</f>
        <v>#DIV/0!</v>
      </c>
      <c r="Q10" s="67" t="e">
        <f t="shared" ref="Q10:Q22" si="5">P10*30</f>
        <v>#DIV/0!</v>
      </c>
      <c r="R10" s="5">
        <f>L10-55678</f>
        <v>44488</v>
      </c>
      <c r="T10" s="69">
        <v>45658</v>
      </c>
      <c r="U10" s="67">
        <v>56577</v>
      </c>
      <c r="V10" s="67">
        <v>52719</v>
      </c>
      <c r="W10" s="67">
        <v>28</v>
      </c>
      <c r="X10" s="67">
        <f t="shared" ref="X10:X22" si="6">U10-V10</f>
        <v>3858</v>
      </c>
      <c r="Y10" s="67">
        <f t="shared" ref="Y10:Y22" si="7">X10/W10</f>
        <v>137.78571428571428</v>
      </c>
      <c r="Z10" s="67">
        <f t="shared" ref="Z10:Z22" si="8">Y10*30</f>
        <v>4133.5714285714284</v>
      </c>
      <c r="AC10" s="69">
        <v>45658</v>
      </c>
      <c r="AD10" s="67">
        <v>109662</v>
      </c>
      <c r="AE10" s="67">
        <v>106058</v>
      </c>
      <c r="AF10" s="67">
        <v>28</v>
      </c>
      <c r="AG10" s="67">
        <f t="shared" ref="AG10:AG22" si="9">AD10-AE10</f>
        <v>3604</v>
      </c>
      <c r="AH10" s="67">
        <f t="shared" ref="AH10:AH22" si="10">AG10/AF10</f>
        <v>128.71428571428572</v>
      </c>
      <c r="AI10" s="67">
        <f t="shared" ref="AI10:AI22" si="11">AH10*30</f>
        <v>3861.4285714285716</v>
      </c>
      <c r="AL10" s="69">
        <v>45670</v>
      </c>
      <c r="AM10" s="67">
        <v>94013</v>
      </c>
      <c r="AN10" s="67">
        <f t="shared" ref="AN10:AN22" si="12">AM9</f>
        <v>0</v>
      </c>
      <c r="AO10" s="67"/>
      <c r="AP10" s="67">
        <f t="shared" ref="AP10:AP22" si="13">AM10-AN10</f>
        <v>94013</v>
      </c>
      <c r="AQ10" s="67" t="e">
        <f t="shared" ref="AQ10:AQ22" si="14">AP10/AO10</f>
        <v>#DIV/0!</v>
      </c>
      <c r="AR10" s="67" t="e">
        <f t="shared" ref="AR10:AR22" si="15">AQ10*30</f>
        <v>#DIV/0!</v>
      </c>
      <c r="AU10" s="69">
        <v>45658</v>
      </c>
      <c r="AV10" s="67">
        <v>49326</v>
      </c>
      <c r="AW10" s="67">
        <v>45709</v>
      </c>
      <c r="AX10" s="67">
        <v>28</v>
      </c>
      <c r="AY10" s="67">
        <f t="shared" ref="AY10:AY22" si="16">AV10-AW10</f>
        <v>3617</v>
      </c>
      <c r="AZ10" s="67">
        <f t="shared" ref="AZ10:AZ22" si="17">AY10/AX10</f>
        <v>129.17857142857142</v>
      </c>
      <c r="BA10" s="67">
        <f t="shared" ref="BA10:BA22" si="18">AZ10*30</f>
        <v>3875.3571428571427</v>
      </c>
      <c r="BD10" s="69">
        <v>45684</v>
      </c>
      <c r="BE10" s="67">
        <v>105480</v>
      </c>
      <c r="BF10" s="67">
        <v>100847</v>
      </c>
      <c r="BG10" s="67"/>
      <c r="BH10" s="67">
        <f t="shared" ref="BH10:BH22" si="19">BE10-BF10</f>
        <v>4633</v>
      </c>
      <c r="BI10" s="67" t="e">
        <f t="shared" ref="BI10:BI22" si="20">BH10/BG10</f>
        <v>#DIV/0!</v>
      </c>
      <c r="BJ10" s="67" t="e">
        <f t="shared" ref="BJ10:BJ22" si="21">BI10*30</f>
        <v>#DIV/0!</v>
      </c>
      <c r="BM10" s="4" t="s">
        <v>64</v>
      </c>
      <c r="BN10" s="67">
        <v>74431</v>
      </c>
      <c r="BO10" s="67">
        <v>69823</v>
      </c>
      <c r="BP10" s="67">
        <v>28</v>
      </c>
      <c r="BQ10" s="67">
        <f t="shared" ref="BQ10:BQ22" si="22">BN10-BO10</f>
        <v>4608</v>
      </c>
      <c r="BR10" s="67">
        <f t="shared" ref="BR10:BR22" si="23">BQ10/BP10</f>
        <v>164.57142857142858</v>
      </c>
      <c r="BS10" s="67">
        <f t="shared" ref="BS10:BS22" si="24">BR10*30</f>
        <v>4937.1428571428578</v>
      </c>
      <c r="BV10" s="69">
        <v>45658</v>
      </c>
      <c r="BW10" s="67">
        <v>66574</v>
      </c>
      <c r="BX10" s="4">
        <f t="shared" ref="BX10:BX22" si="25">BW9</f>
        <v>64376</v>
      </c>
      <c r="BY10" s="4">
        <v>11</v>
      </c>
      <c r="BZ10" s="67">
        <f>BW10-BX10</f>
        <v>2198</v>
      </c>
      <c r="CA10" s="67">
        <f>BZ10/BY10</f>
        <v>199.81818181818181</v>
      </c>
      <c r="CB10" s="67">
        <f>CA10*30</f>
        <v>5994.545454545454</v>
      </c>
      <c r="CE10" s="4" t="s">
        <v>64</v>
      </c>
      <c r="CF10" s="67">
        <v>106721</v>
      </c>
      <c r="CG10" s="67">
        <v>103731</v>
      </c>
      <c r="CH10" s="67">
        <v>28</v>
      </c>
      <c r="CI10" s="67">
        <f t="shared" ref="CI10:CI22" si="26">CF10-CG10</f>
        <v>2990</v>
      </c>
      <c r="CJ10" s="67">
        <f t="shared" ref="CJ10:CJ22" si="27">CI10/CH10</f>
        <v>106.78571428571429</v>
      </c>
      <c r="CK10" s="67">
        <f t="shared" ref="CK10:CK22" si="28">CJ10*30</f>
        <v>3203.5714285714289</v>
      </c>
      <c r="CL10" s="5">
        <f>CF10-75552</f>
        <v>31169</v>
      </c>
      <c r="CN10" s="4" t="s">
        <v>64</v>
      </c>
      <c r="CO10" s="67">
        <v>0</v>
      </c>
      <c r="CP10" s="67">
        <f t="shared" ref="CP10:CP22" si="29">CO9</f>
        <v>0</v>
      </c>
      <c r="CQ10" s="67"/>
      <c r="CR10" s="67">
        <f t="shared" ref="CR10:CR22" si="30">CO10-CP10</f>
        <v>0</v>
      </c>
      <c r="CS10" s="4" t="e">
        <f t="shared" ref="CS10:CS22" si="31">CR10/CQ10</f>
        <v>#DIV/0!</v>
      </c>
      <c r="CT10" s="4" t="e">
        <f t="shared" ref="CT10:CT22" si="32">CS10*30</f>
        <v>#DIV/0!</v>
      </c>
      <c r="CU10" s="5"/>
      <c r="CV10" s="5"/>
      <c r="CZ10" s="1"/>
      <c r="DD10" s="1"/>
    </row>
    <row r="11" spans="1:126" ht="16" x14ac:dyDescent="0.2">
      <c r="A11" s="3"/>
      <c r="B11" s="69">
        <v>45691</v>
      </c>
      <c r="C11" s="67">
        <v>99767</v>
      </c>
      <c r="D11" s="67">
        <f t="shared" ref="D11:D22" si="33">C10</f>
        <v>97161</v>
      </c>
      <c r="E11" s="4">
        <v>33</v>
      </c>
      <c r="F11" s="4">
        <f t="shared" ref="F11:F22" si="34">C11-D11</f>
        <v>2606</v>
      </c>
      <c r="G11" s="67">
        <f t="shared" si="0"/>
        <v>78.969696969696969</v>
      </c>
      <c r="H11" s="67">
        <f t="shared" si="1"/>
        <v>2369.090909090909</v>
      </c>
      <c r="I11" s="79">
        <f>C11-49853</f>
        <v>49914</v>
      </c>
      <c r="J11" s="4"/>
      <c r="K11" s="69"/>
      <c r="L11" s="67"/>
      <c r="M11" s="67">
        <f t="shared" si="2"/>
        <v>100166</v>
      </c>
      <c r="N11" s="67"/>
      <c r="O11" s="67">
        <f t="shared" si="3"/>
        <v>-100166</v>
      </c>
      <c r="P11" s="67" t="e">
        <f t="shared" si="4"/>
        <v>#DIV/0!</v>
      </c>
      <c r="Q11" s="67" t="e">
        <f t="shared" si="5"/>
        <v>#DIV/0!</v>
      </c>
      <c r="T11" s="69">
        <v>45691</v>
      </c>
      <c r="U11" s="67">
        <v>61521</v>
      </c>
      <c r="V11" s="67">
        <f t="shared" ref="V11:V22" si="35">U10</f>
        <v>56577</v>
      </c>
      <c r="W11" s="67">
        <v>33</v>
      </c>
      <c r="X11" s="67">
        <f t="shared" si="6"/>
        <v>4944</v>
      </c>
      <c r="Y11" s="67">
        <f t="shared" si="7"/>
        <v>149.81818181818181</v>
      </c>
      <c r="Z11" s="67">
        <f t="shared" si="8"/>
        <v>4494.545454545454</v>
      </c>
      <c r="AC11" s="69">
        <v>45691</v>
      </c>
      <c r="AD11" s="67">
        <v>113476</v>
      </c>
      <c r="AE11" s="67">
        <f t="shared" ref="AE11:AE22" si="36">AD10</f>
        <v>109662</v>
      </c>
      <c r="AF11" s="67">
        <v>33</v>
      </c>
      <c r="AG11" s="67">
        <f t="shared" si="9"/>
        <v>3814</v>
      </c>
      <c r="AH11" s="67">
        <f t="shared" si="10"/>
        <v>115.57575757575758</v>
      </c>
      <c r="AI11" s="67">
        <f t="shared" si="11"/>
        <v>3467.2727272727275</v>
      </c>
      <c r="AJ11" s="5">
        <f>AD11-54289</f>
        <v>59187</v>
      </c>
      <c r="AL11" s="69">
        <v>45691</v>
      </c>
      <c r="AM11" s="67">
        <v>93535</v>
      </c>
      <c r="AN11" s="67">
        <f t="shared" si="12"/>
        <v>94013</v>
      </c>
      <c r="AO11" s="67">
        <v>33</v>
      </c>
      <c r="AP11" s="67">
        <f t="shared" si="13"/>
        <v>-478</v>
      </c>
      <c r="AQ11" s="67">
        <f t="shared" si="14"/>
        <v>-14.484848484848484</v>
      </c>
      <c r="AR11" s="67">
        <f t="shared" si="15"/>
        <v>-434.5454545454545</v>
      </c>
      <c r="AS11" s="5">
        <f>AM11-57887</f>
        <v>35648</v>
      </c>
      <c r="AU11" s="69">
        <v>45691</v>
      </c>
      <c r="AV11" s="67">
        <v>54125</v>
      </c>
      <c r="AW11" s="67">
        <f t="shared" ref="AW11:AW22" si="37">AV10</f>
        <v>49326</v>
      </c>
      <c r="AX11" s="67">
        <v>33</v>
      </c>
      <c r="AY11" s="67">
        <f t="shared" si="16"/>
        <v>4799</v>
      </c>
      <c r="AZ11" s="67">
        <f t="shared" si="17"/>
        <v>145.42424242424244</v>
      </c>
      <c r="BA11" s="67">
        <f t="shared" si="18"/>
        <v>4362.727272727273</v>
      </c>
      <c r="BD11" s="69">
        <v>45691</v>
      </c>
      <c r="BE11" s="67">
        <v>107098</v>
      </c>
      <c r="BF11" s="67">
        <f t="shared" ref="BF11:BF22" si="38">BE10</f>
        <v>105480</v>
      </c>
      <c r="BG11" s="67">
        <v>7</v>
      </c>
      <c r="BH11" s="67">
        <f t="shared" si="19"/>
        <v>1618</v>
      </c>
      <c r="BI11" s="67">
        <f t="shared" si="20"/>
        <v>231.14285714285714</v>
      </c>
      <c r="BJ11" s="75">
        <f t="shared" si="21"/>
        <v>6934.2857142857138</v>
      </c>
      <c r="BK11" s="5">
        <f>BE11-32258</f>
        <v>74840</v>
      </c>
      <c r="BM11" s="69">
        <v>45691</v>
      </c>
      <c r="BN11" s="67">
        <v>78996</v>
      </c>
      <c r="BO11" s="67">
        <f t="shared" ref="BO11:BO22" si="39">BN10</f>
        <v>74431</v>
      </c>
      <c r="BP11" s="67">
        <v>33</v>
      </c>
      <c r="BQ11" s="67">
        <f t="shared" si="22"/>
        <v>4565</v>
      </c>
      <c r="BR11" s="67">
        <f t="shared" si="23"/>
        <v>138.33333333333334</v>
      </c>
      <c r="BS11" s="67">
        <f t="shared" si="24"/>
        <v>4150</v>
      </c>
      <c r="BV11" s="69">
        <v>45691</v>
      </c>
      <c r="BW11" s="4">
        <v>69859</v>
      </c>
      <c r="BX11" s="4">
        <f t="shared" si="25"/>
        <v>66574</v>
      </c>
      <c r="BY11" s="4">
        <v>33</v>
      </c>
      <c r="BZ11" s="4">
        <f t="shared" ref="BZ11:BZ22" si="40">BW11-BX11</f>
        <v>3285</v>
      </c>
      <c r="CA11" s="67">
        <f t="shared" ref="CA11:CA22" si="41">BZ11/BY11</f>
        <v>99.545454545454547</v>
      </c>
      <c r="CB11" s="67">
        <f t="shared" ref="CB11:CB22" si="42">CA11*30</f>
        <v>2986.3636363636365</v>
      </c>
      <c r="CE11" s="318" t="s">
        <v>135</v>
      </c>
      <c r="CF11" s="318"/>
      <c r="CG11" s="318"/>
      <c r="CH11" s="318"/>
      <c r="CI11" s="318"/>
      <c r="CJ11" s="318"/>
      <c r="CK11" s="318"/>
      <c r="CN11" s="69"/>
      <c r="CO11" s="67"/>
      <c r="CP11" s="67">
        <f t="shared" si="29"/>
        <v>0</v>
      </c>
      <c r="CQ11" s="67"/>
      <c r="CR11" s="67">
        <f t="shared" si="30"/>
        <v>0</v>
      </c>
      <c r="CS11" s="4" t="e">
        <f t="shared" si="31"/>
        <v>#DIV/0!</v>
      </c>
      <c r="CT11" s="4" t="e">
        <f t="shared" si="32"/>
        <v>#DIV/0!</v>
      </c>
      <c r="CU11" s="5"/>
      <c r="CV11" s="5"/>
      <c r="CZ11" s="1"/>
      <c r="DD11" s="1"/>
    </row>
    <row r="12" spans="1:126" ht="16" x14ac:dyDescent="0.2">
      <c r="A12" s="3"/>
      <c r="B12" s="318" t="s">
        <v>127</v>
      </c>
      <c r="C12" s="318"/>
      <c r="D12" s="318"/>
      <c r="E12" s="318"/>
      <c r="F12" s="318"/>
      <c r="G12" s="318"/>
      <c r="H12" s="318"/>
      <c r="I12" s="79"/>
      <c r="J12" s="4"/>
      <c r="K12" s="69"/>
      <c r="L12" s="67"/>
      <c r="M12" s="67"/>
      <c r="N12" s="67"/>
      <c r="O12" s="67"/>
      <c r="P12" s="67"/>
      <c r="Q12" s="67"/>
      <c r="T12" s="69"/>
      <c r="U12" s="67"/>
      <c r="V12" s="67"/>
      <c r="W12" s="67"/>
      <c r="X12" s="67"/>
      <c r="Y12" s="67"/>
      <c r="Z12" s="67"/>
      <c r="AC12" s="69"/>
      <c r="AD12" s="67"/>
      <c r="AE12" s="67"/>
      <c r="AF12" s="67"/>
      <c r="AG12" s="67"/>
      <c r="AH12" s="67"/>
      <c r="AI12" s="67"/>
      <c r="AL12" s="69"/>
      <c r="AM12" s="67"/>
      <c r="AN12" s="67"/>
      <c r="AO12" s="67"/>
      <c r="AP12" s="67"/>
      <c r="AQ12" s="67"/>
      <c r="AR12" s="67"/>
      <c r="AU12" s="69"/>
      <c r="AV12" s="67"/>
      <c r="AW12" s="67"/>
      <c r="AX12" s="67"/>
      <c r="AY12" s="67"/>
      <c r="AZ12" s="67"/>
      <c r="BA12" s="67"/>
      <c r="BD12" s="318" t="s">
        <v>134</v>
      </c>
      <c r="BE12" s="318"/>
      <c r="BF12" s="318"/>
      <c r="BG12" s="318"/>
      <c r="BH12" s="318"/>
      <c r="BI12" s="318"/>
      <c r="BJ12" s="318"/>
      <c r="BM12" s="69"/>
      <c r="BN12" s="67"/>
      <c r="BO12" s="67"/>
      <c r="BP12" s="67"/>
      <c r="BQ12" s="67"/>
      <c r="BR12" s="67"/>
      <c r="BS12" s="67"/>
      <c r="BV12" s="69"/>
      <c r="BW12" s="4"/>
      <c r="BX12" s="4"/>
      <c r="BY12" s="4"/>
      <c r="BZ12" s="4"/>
      <c r="CA12" s="67"/>
      <c r="CB12" s="67"/>
      <c r="CE12" s="69">
        <v>45702</v>
      </c>
      <c r="CF12" s="67">
        <v>112690</v>
      </c>
      <c r="CG12" s="67" t="s">
        <v>98</v>
      </c>
      <c r="CH12" s="67"/>
      <c r="CI12" s="67" t="e">
        <f t="shared" ref="CI12" si="43">CF12-CG12</f>
        <v>#VALUE!</v>
      </c>
      <c r="CJ12" s="67" t="e">
        <f t="shared" ref="CJ12" si="44">CI12/CH12</f>
        <v>#VALUE!</v>
      </c>
      <c r="CK12" s="67" t="e">
        <f t="shared" ref="CK12" si="45">CJ12*30</f>
        <v>#VALUE!</v>
      </c>
      <c r="CL12" s="5">
        <f t="shared" ref="CL12:CL22" si="46">CF12-75552</f>
        <v>37138</v>
      </c>
      <c r="CN12" s="69"/>
      <c r="CO12" s="67"/>
      <c r="CP12" s="67"/>
      <c r="CQ12" s="67"/>
      <c r="CR12" s="67"/>
      <c r="CS12" s="4"/>
      <c r="CT12" s="4"/>
      <c r="CU12" s="5"/>
      <c r="CV12" s="5"/>
      <c r="CZ12" s="1"/>
      <c r="DD12" s="1"/>
      <c r="DL12" s="11">
        <v>45818</v>
      </c>
      <c r="DM12" s="113">
        <v>30000</v>
      </c>
    </row>
    <row r="13" spans="1:126" ht="16" x14ac:dyDescent="0.2">
      <c r="A13" s="3"/>
      <c r="B13" s="69">
        <v>45748</v>
      </c>
      <c r="C13" s="67">
        <v>104861</v>
      </c>
      <c r="D13" s="67">
        <f>C11</f>
        <v>99767</v>
      </c>
      <c r="E13" s="4">
        <v>57</v>
      </c>
      <c r="F13" s="4">
        <f t="shared" si="34"/>
        <v>5094</v>
      </c>
      <c r="G13" s="67">
        <f t="shared" si="0"/>
        <v>89.368421052631575</v>
      </c>
      <c r="H13" s="67">
        <f t="shared" si="1"/>
        <v>2681.0526315789471</v>
      </c>
      <c r="I13" s="79">
        <f t="shared" ref="I13:I22" si="47">C13-49853</f>
        <v>55008</v>
      </c>
      <c r="J13" s="4"/>
      <c r="K13" s="69">
        <v>45754</v>
      </c>
      <c r="L13" s="67">
        <v>103610</v>
      </c>
      <c r="M13" s="67">
        <f>L11</f>
        <v>0</v>
      </c>
      <c r="N13" s="67"/>
      <c r="O13" s="67">
        <f t="shared" si="3"/>
        <v>103610</v>
      </c>
      <c r="P13" s="67" t="e">
        <f t="shared" si="4"/>
        <v>#DIV/0!</v>
      </c>
      <c r="Q13" s="67" t="e">
        <f t="shared" si="5"/>
        <v>#DIV/0!</v>
      </c>
      <c r="T13" s="69">
        <v>45748</v>
      </c>
      <c r="U13" s="67">
        <v>68965</v>
      </c>
      <c r="V13" s="67">
        <f>U11</f>
        <v>61521</v>
      </c>
      <c r="W13" s="67">
        <v>57</v>
      </c>
      <c r="X13" s="67">
        <f t="shared" si="6"/>
        <v>7444</v>
      </c>
      <c r="Y13" s="67">
        <f t="shared" si="7"/>
        <v>130.59649122807016</v>
      </c>
      <c r="Z13" s="67">
        <f t="shared" si="8"/>
        <v>3917.894736842105</v>
      </c>
      <c r="AC13" s="69">
        <v>45707</v>
      </c>
      <c r="AD13" s="67">
        <v>120112</v>
      </c>
      <c r="AE13" s="83" t="s">
        <v>83</v>
      </c>
      <c r="AF13" s="83"/>
      <c r="AG13" s="67" t="e">
        <f t="shared" si="9"/>
        <v>#VALUE!</v>
      </c>
      <c r="AH13" s="67" t="e">
        <f t="shared" si="10"/>
        <v>#VALUE!</v>
      </c>
      <c r="AI13" s="67" t="e">
        <f t="shared" si="11"/>
        <v>#VALUE!</v>
      </c>
      <c r="AL13" s="69">
        <v>45748</v>
      </c>
      <c r="AM13" s="67">
        <v>95592</v>
      </c>
      <c r="AN13" s="67">
        <f>AM11</f>
        <v>93535</v>
      </c>
      <c r="AO13" s="67">
        <v>57</v>
      </c>
      <c r="AP13" s="67">
        <f t="shared" si="13"/>
        <v>2057</v>
      </c>
      <c r="AQ13" s="67">
        <f t="shared" si="14"/>
        <v>36.087719298245617</v>
      </c>
      <c r="AR13" s="67">
        <f t="shared" si="15"/>
        <v>1082.6315789473686</v>
      </c>
      <c r="AS13" s="5">
        <f>AM13-57887</f>
        <v>37705</v>
      </c>
      <c r="AU13" s="69">
        <v>45748</v>
      </c>
      <c r="AV13" s="67">
        <v>64356</v>
      </c>
      <c r="AW13" s="67">
        <f>AV11</f>
        <v>54125</v>
      </c>
      <c r="AX13" s="67">
        <v>57</v>
      </c>
      <c r="AY13" s="67">
        <f t="shared" si="16"/>
        <v>10231</v>
      </c>
      <c r="AZ13" s="67">
        <f t="shared" si="17"/>
        <v>179.49122807017545</v>
      </c>
      <c r="BA13" s="75">
        <f t="shared" si="18"/>
        <v>5384.7368421052633</v>
      </c>
      <c r="BD13" s="69">
        <v>45748</v>
      </c>
      <c r="BE13" s="67">
        <v>116460</v>
      </c>
      <c r="BF13" s="67">
        <f>BE11</f>
        <v>107098</v>
      </c>
      <c r="BG13" s="67">
        <v>57</v>
      </c>
      <c r="BH13" s="67">
        <f t="shared" si="19"/>
        <v>9362</v>
      </c>
      <c r="BI13" s="67">
        <f t="shared" si="20"/>
        <v>164.24561403508773</v>
      </c>
      <c r="BJ13" s="67">
        <f t="shared" si="21"/>
        <v>4927.3684210526317</v>
      </c>
      <c r="BK13" s="5">
        <f t="shared" ref="BK13:BK22" si="48">BE13-32258</f>
        <v>84202</v>
      </c>
      <c r="BM13" s="69">
        <v>45748</v>
      </c>
      <c r="BN13" s="67">
        <v>86196</v>
      </c>
      <c r="BO13" s="67">
        <f>BN11</f>
        <v>78996</v>
      </c>
      <c r="BP13" s="67">
        <v>57</v>
      </c>
      <c r="BQ13" s="67">
        <f t="shared" si="22"/>
        <v>7200</v>
      </c>
      <c r="BR13" s="67">
        <f t="shared" si="23"/>
        <v>126.31578947368421</v>
      </c>
      <c r="BS13" s="67">
        <f t="shared" si="24"/>
        <v>3789.4736842105262</v>
      </c>
      <c r="BV13" s="69">
        <v>45748</v>
      </c>
      <c r="BW13" s="4">
        <v>74006</v>
      </c>
      <c r="BX13" s="4">
        <f>BW11</f>
        <v>69859</v>
      </c>
      <c r="BY13" s="4">
        <v>57</v>
      </c>
      <c r="BZ13" s="4">
        <f t="shared" si="40"/>
        <v>4147</v>
      </c>
      <c r="CA13" s="67">
        <f t="shared" si="41"/>
        <v>72.754385964912274</v>
      </c>
      <c r="CB13" s="67">
        <f t="shared" si="42"/>
        <v>2182.6315789473683</v>
      </c>
      <c r="CE13" s="69">
        <v>45748</v>
      </c>
      <c r="CF13" s="67">
        <v>119083</v>
      </c>
      <c r="CG13" s="67">
        <f>CF11</f>
        <v>0</v>
      </c>
      <c r="CH13" s="67">
        <v>57</v>
      </c>
      <c r="CI13" s="67">
        <f t="shared" si="26"/>
        <v>119083</v>
      </c>
      <c r="CJ13" s="67">
        <f t="shared" si="27"/>
        <v>2089.1754385964914</v>
      </c>
      <c r="CK13" s="67">
        <f t="shared" si="28"/>
        <v>62675.26315789474</v>
      </c>
      <c r="CL13" s="5">
        <f t="shared" si="46"/>
        <v>43531</v>
      </c>
      <c r="CN13" s="4"/>
      <c r="CO13" s="67"/>
      <c r="CP13" s="67">
        <f>CO11</f>
        <v>0</v>
      </c>
      <c r="CQ13" s="67"/>
      <c r="CR13" s="67">
        <f t="shared" si="30"/>
        <v>0</v>
      </c>
      <c r="CS13" s="4" t="e">
        <f t="shared" si="31"/>
        <v>#DIV/0!</v>
      </c>
      <c r="CT13" s="4" t="e">
        <f t="shared" si="32"/>
        <v>#DIV/0!</v>
      </c>
      <c r="CU13" s="5"/>
      <c r="CV13" s="5"/>
      <c r="CW13" s="21" t="s">
        <v>108</v>
      </c>
      <c r="CX13" s="67">
        <v>26252</v>
      </c>
      <c r="CY13" s="67">
        <f t="shared" ref="CY13" si="49">CX11</f>
        <v>0</v>
      </c>
      <c r="CZ13" s="67"/>
      <c r="DA13" s="67">
        <f t="shared" ref="DA13" si="50">CX13-CY13</f>
        <v>26252</v>
      </c>
      <c r="DB13" s="67" t="e">
        <f t="shared" ref="DB13:DB20" si="51">DA13/CZ13</f>
        <v>#DIV/0!</v>
      </c>
      <c r="DC13" s="67" t="e">
        <f t="shared" ref="DC13" si="52">DB13*30</f>
        <v>#DIV/0!</v>
      </c>
      <c r="DD13" s="5">
        <f t="shared" ref="DD13:DD20" si="53">CX13-26252</f>
        <v>0</v>
      </c>
      <c r="DF13" s="112"/>
    </row>
    <row r="14" spans="1:126" ht="16" x14ac:dyDescent="0.2">
      <c r="A14" s="3"/>
      <c r="B14" s="69">
        <v>45810</v>
      </c>
      <c r="C14" s="67">
        <v>109113</v>
      </c>
      <c r="D14" s="67">
        <f t="shared" si="33"/>
        <v>104861</v>
      </c>
      <c r="E14" s="4">
        <v>63</v>
      </c>
      <c r="F14" s="4">
        <f t="shared" si="34"/>
        <v>4252</v>
      </c>
      <c r="G14" s="67">
        <f t="shared" si="0"/>
        <v>67.492063492063494</v>
      </c>
      <c r="H14" s="67">
        <f t="shared" si="1"/>
        <v>2024.7619047619048</v>
      </c>
      <c r="I14" s="79">
        <f t="shared" si="47"/>
        <v>59260</v>
      </c>
      <c r="J14" s="4"/>
      <c r="K14" s="69">
        <v>45810</v>
      </c>
      <c r="L14" s="67">
        <v>110200</v>
      </c>
      <c r="M14" s="67">
        <f t="shared" si="2"/>
        <v>103610</v>
      </c>
      <c r="N14" s="67">
        <v>57</v>
      </c>
      <c r="O14" s="67">
        <f t="shared" si="3"/>
        <v>6590</v>
      </c>
      <c r="P14" s="67">
        <f t="shared" si="4"/>
        <v>115.6140350877193</v>
      </c>
      <c r="Q14" s="67">
        <f t="shared" si="5"/>
        <v>3468.4210526315792</v>
      </c>
      <c r="R14" s="5">
        <f t="shared" ref="R14:R22" si="54">L14-55678</f>
        <v>54522</v>
      </c>
      <c r="T14" s="69">
        <v>45810</v>
      </c>
      <c r="U14" s="67">
        <v>77541</v>
      </c>
      <c r="V14" s="67">
        <f t="shared" si="35"/>
        <v>68965</v>
      </c>
      <c r="W14" s="67">
        <v>63</v>
      </c>
      <c r="X14" s="67">
        <f t="shared" si="6"/>
        <v>8576</v>
      </c>
      <c r="Y14" s="67">
        <f t="shared" si="7"/>
        <v>136.12698412698413</v>
      </c>
      <c r="Z14" s="67">
        <f t="shared" si="8"/>
        <v>4083.8095238095239</v>
      </c>
      <c r="AA14" s="5">
        <f t="shared" ref="AA14:AA22" si="55">U14-28261</f>
        <v>49280</v>
      </c>
      <c r="AC14" s="69">
        <v>45748</v>
      </c>
      <c r="AD14" s="67">
        <v>123993</v>
      </c>
      <c r="AE14" s="67">
        <f t="shared" si="36"/>
        <v>120112</v>
      </c>
      <c r="AF14" s="67"/>
      <c r="AG14" s="67">
        <f t="shared" si="9"/>
        <v>3881</v>
      </c>
      <c r="AH14" s="67" t="e">
        <f t="shared" si="10"/>
        <v>#DIV/0!</v>
      </c>
      <c r="AI14" s="67" t="e">
        <f t="shared" si="11"/>
        <v>#DIV/0!</v>
      </c>
      <c r="AL14" s="69">
        <v>45876</v>
      </c>
      <c r="AM14" s="67">
        <v>123052</v>
      </c>
      <c r="AN14" s="67">
        <f t="shared" si="12"/>
        <v>95592</v>
      </c>
      <c r="AO14" s="67"/>
      <c r="AP14" s="67">
        <f t="shared" si="13"/>
        <v>27460</v>
      </c>
      <c r="AQ14" s="67" t="e">
        <f t="shared" si="14"/>
        <v>#DIV/0!</v>
      </c>
      <c r="AR14" s="67" t="e">
        <f t="shared" si="15"/>
        <v>#DIV/0!</v>
      </c>
      <c r="AS14" s="5">
        <f>AM14-57887</f>
        <v>65165</v>
      </c>
      <c r="AU14" s="69">
        <v>45810</v>
      </c>
      <c r="AV14" s="67">
        <v>72646</v>
      </c>
      <c r="AW14" s="67">
        <f t="shared" si="37"/>
        <v>64356</v>
      </c>
      <c r="AX14" s="67">
        <v>63</v>
      </c>
      <c r="AY14" s="67">
        <f t="shared" si="16"/>
        <v>8290</v>
      </c>
      <c r="AZ14" s="67">
        <f t="shared" si="17"/>
        <v>131.5873015873016</v>
      </c>
      <c r="BA14" s="67">
        <f t="shared" si="18"/>
        <v>3947.6190476190477</v>
      </c>
      <c r="BB14" s="5">
        <f t="shared" ref="BB14:BB22" si="56">AV14-29276</f>
        <v>43370</v>
      </c>
      <c r="BD14" s="69">
        <v>45810</v>
      </c>
      <c r="BE14" s="67">
        <v>127641</v>
      </c>
      <c r="BF14" s="67">
        <f t="shared" si="38"/>
        <v>116460</v>
      </c>
      <c r="BG14" s="67">
        <v>63</v>
      </c>
      <c r="BH14" s="67">
        <f t="shared" si="19"/>
        <v>11181</v>
      </c>
      <c r="BI14" s="67">
        <f t="shared" si="20"/>
        <v>177.47619047619048</v>
      </c>
      <c r="BJ14" s="75">
        <f t="shared" si="21"/>
        <v>5324.2857142857147</v>
      </c>
      <c r="BK14" s="5">
        <f t="shared" si="48"/>
        <v>95383</v>
      </c>
      <c r="BM14" s="69">
        <v>45810</v>
      </c>
      <c r="BN14" s="67">
        <v>92807</v>
      </c>
      <c r="BO14" s="67">
        <f t="shared" si="39"/>
        <v>86196</v>
      </c>
      <c r="BP14" s="67">
        <v>63</v>
      </c>
      <c r="BQ14" s="67">
        <f t="shared" si="22"/>
        <v>6611</v>
      </c>
      <c r="BR14" s="67">
        <f t="shared" si="23"/>
        <v>104.93650793650794</v>
      </c>
      <c r="BS14" s="67">
        <f t="shared" si="24"/>
        <v>3148.0952380952381</v>
      </c>
      <c r="BT14" s="5">
        <f t="shared" ref="BT14:BT22" si="57">BN14-28825</f>
        <v>63982</v>
      </c>
      <c r="BV14" s="69">
        <v>45810</v>
      </c>
      <c r="BW14" s="4">
        <v>78823</v>
      </c>
      <c r="BX14" s="4">
        <f t="shared" si="25"/>
        <v>74006</v>
      </c>
      <c r="BY14" s="4">
        <v>63</v>
      </c>
      <c r="BZ14" s="4">
        <f t="shared" si="40"/>
        <v>4817</v>
      </c>
      <c r="CA14" s="67">
        <f t="shared" si="41"/>
        <v>76.460317460317455</v>
      </c>
      <c r="CB14" s="67">
        <f t="shared" si="42"/>
        <v>2293.8095238095239</v>
      </c>
      <c r="CC14" s="5">
        <f t="shared" ref="CC14:CC22" si="58">BW14-49091</f>
        <v>29732</v>
      </c>
      <c r="CE14" s="69">
        <v>45810</v>
      </c>
      <c r="CF14" s="67">
        <v>126905</v>
      </c>
      <c r="CG14" s="67">
        <f t="shared" ref="CG14:CG22" si="59">CF13</f>
        <v>119083</v>
      </c>
      <c r="CH14" s="67">
        <v>63</v>
      </c>
      <c r="CI14" s="67">
        <f t="shared" si="26"/>
        <v>7822</v>
      </c>
      <c r="CJ14" s="67">
        <f t="shared" si="27"/>
        <v>124.15873015873017</v>
      </c>
      <c r="CK14" s="67">
        <f t="shared" si="28"/>
        <v>3724.761904761905</v>
      </c>
      <c r="CL14" s="5">
        <f t="shared" si="46"/>
        <v>51353</v>
      </c>
      <c r="CN14" s="4"/>
      <c r="CO14" s="67"/>
      <c r="CP14" s="67">
        <f t="shared" si="29"/>
        <v>0</v>
      </c>
      <c r="CQ14" s="67"/>
      <c r="CR14" s="67">
        <f t="shared" si="30"/>
        <v>0</v>
      </c>
      <c r="CS14" s="4" t="e">
        <f t="shared" si="31"/>
        <v>#DIV/0!</v>
      </c>
      <c r="CT14" s="4" t="e">
        <f t="shared" si="32"/>
        <v>#DIV/0!</v>
      </c>
      <c r="CU14" s="5"/>
      <c r="CV14" s="5"/>
      <c r="CW14" s="69">
        <v>45810</v>
      </c>
      <c r="CX14" s="67">
        <v>26650</v>
      </c>
      <c r="CY14" s="67">
        <f t="shared" ref="CY14" si="60">CX13</f>
        <v>26252</v>
      </c>
      <c r="CZ14" s="67"/>
      <c r="DA14" s="67">
        <f t="shared" ref="DA14" si="61">CX14-CY14</f>
        <v>398</v>
      </c>
      <c r="DB14" s="67" t="e">
        <f t="shared" si="51"/>
        <v>#DIV/0!</v>
      </c>
      <c r="DC14" s="67" t="e">
        <f t="shared" ref="DC14:DC15" si="62">DB14*30</f>
        <v>#DIV/0!</v>
      </c>
      <c r="DD14" s="5">
        <f t="shared" si="53"/>
        <v>398</v>
      </c>
      <c r="DF14" s="29">
        <v>45849</v>
      </c>
      <c r="DG14" s="101">
        <v>32567</v>
      </c>
      <c r="DH14" s="101">
        <f>DG13</f>
        <v>0</v>
      </c>
      <c r="DI14" s="100"/>
      <c r="DJ14" s="67"/>
      <c r="DK14" s="67"/>
      <c r="DL14" s="67"/>
      <c r="DM14" s="5"/>
      <c r="DN14" s="5"/>
      <c r="DO14" s="29">
        <v>45854</v>
      </c>
      <c r="DP14" s="5">
        <v>50050</v>
      </c>
      <c r="DQ14" s="5"/>
      <c r="DR14" s="5"/>
      <c r="DS14" s="67"/>
      <c r="DT14" s="67"/>
      <c r="DU14" s="67"/>
      <c r="DV14" s="5"/>
    </row>
    <row r="15" spans="1:126" ht="16" x14ac:dyDescent="0.2">
      <c r="A15" s="3"/>
      <c r="B15" s="69">
        <v>45881</v>
      </c>
      <c r="C15" s="67">
        <v>114720</v>
      </c>
      <c r="D15" s="67">
        <f t="shared" si="33"/>
        <v>109113</v>
      </c>
      <c r="E15" s="4">
        <v>71</v>
      </c>
      <c r="F15" s="4">
        <f t="shared" si="34"/>
        <v>5607</v>
      </c>
      <c r="G15" s="67">
        <f t="shared" si="0"/>
        <v>78.971830985915489</v>
      </c>
      <c r="H15" s="67">
        <f t="shared" si="1"/>
        <v>2369.1549295774648</v>
      </c>
      <c r="I15" s="79">
        <f t="shared" si="47"/>
        <v>64867</v>
      </c>
      <c r="J15" s="4"/>
      <c r="K15" s="69">
        <v>45815</v>
      </c>
      <c r="L15" s="67">
        <v>111415</v>
      </c>
      <c r="M15" s="67" t="s">
        <v>128</v>
      </c>
      <c r="N15" s="67"/>
      <c r="O15" s="67" t="e">
        <f t="shared" si="3"/>
        <v>#VALUE!</v>
      </c>
      <c r="P15" s="67" t="e">
        <f t="shared" si="4"/>
        <v>#VALUE!</v>
      </c>
      <c r="Q15" s="67" t="e">
        <f t="shared" si="5"/>
        <v>#VALUE!</v>
      </c>
      <c r="R15" s="5">
        <f t="shared" si="54"/>
        <v>55737</v>
      </c>
      <c r="T15" s="69">
        <v>45881</v>
      </c>
      <c r="U15" s="67">
        <v>89510</v>
      </c>
      <c r="V15" s="67">
        <f t="shared" si="35"/>
        <v>77541</v>
      </c>
      <c r="W15" s="67">
        <v>71</v>
      </c>
      <c r="X15" s="67">
        <f t="shared" si="6"/>
        <v>11969</v>
      </c>
      <c r="Y15" s="67">
        <f t="shared" si="7"/>
        <v>168.57746478873239</v>
      </c>
      <c r="Z15" s="67">
        <f t="shared" si="8"/>
        <v>5057.3239436619715</v>
      </c>
      <c r="AA15" s="5">
        <f t="shared" si="55"/>
        <v>61249</v>
      </c>
      <c r="AC15" s="69">
        <v>45810</v>
      </c>
      <c r="AD15" s="67"/>
      <c r="AE15" s="67">
        <f t="shared" si="36"/>
        <v>123993</v>
      </c>
      <c r="AF15" s="67"/>
      <c r="AG15" s="67">
        <f t="shared" si="9"/>
        <v>-123993</v>
      </c>
      <c r="AH15" s="67" t="e">
        <f t="shared" si="10"/>
        <v>#DIV/0!</v>
      </c>
      <c r="AI15" s="67" t="e">
        <f t="shared" si="11"/>
        <v>#DIV/0!</v>
      </c>
      <c r="AL15" s="318" t="s">
        <v>129</v>
      </c>
      <c r="AM15" s="318"/>
      <c r="AN15" s="318"/>
      <c r="AO15" s="318"/>
      <c r="AP15" s="318"/>
      <c r="AQ15" s="318"/>
      <c r="AR15" s="318"/>
      <c r="AU15" s="69">
        <v>45815</v>
      </c>
      <c r="AV15" s="67">
        <v>74994</v>
      </c>
      <c r="AW15" s="67" t="s">
        <v>132</v>
      </c>
      <c r="AX15" s="67"/>
      <c r="AY15" s="67" t="e">
        <f t="shared" si="16"/>
        <v>#VALUE!</v>
      </c>
      <c r="AZ15" s="67" t="e">
        <f t="shared" si="17"/>
        <v>#VALUE!</v>
      </c>
      <c r="BA15" s="67" t="e">
        <f t="shared" si="18"/>
        <v>#VALUE!</v>
      </c>
      <c r="BB15" s="5">
        <f t="shared" si="56"/>
        <v>45718</v>
      </c>
      <c r="BD15" s="69">
        <v>45881</v>
      </c>
      <c r="BE15" s="67">
        <v>134160</v>
      </c>
      <c r="BF15" s="67" t="s">
        <v>133</v>
      </c>
      <c r="BG15" s="67"/>
      <c r="BH15" s="67" t="e">
        <f t="shared" si="19"/>
        <v>#VALUE!</v>
      </c>
      <c r="BI15" s="67" t="e">
        <f t="shared" si="20"/>
        <v>#VALUE!</v>
      </c>
      <c r="BJ15" s="67" t="e">
        <f t="shared" si="21"/>
        <v>#VALUE!</v>
      </c>
      <c r="BK15" s="5">
        <f t="shared" si="48"/>
        <v>101902</v>
      </c>
      <c r="BM15" s="69">
        <v>45881</v>
      </c>
      <c r="BN15" s="67">
        <v>96950</v>
      </c>
      <c r="BO15" s="67">
        <f t="shared" si="39"/>
        <v>92807</v>
      </c>
      <c r="BP15" s="67">
        <v>71</v>
      </c>
      <c r="BQ15" s="67">
        <f t="shared" si="22"/>
        <v>4143</v>
      </c>
      <c r="BR15" s="67">
        <f t="shared" si="23"/>
        <v>58.352112676056336</v>
      </c>
      <c r="BS15" s="67">
        <f t="shared" si="24"/>
        <v>1750.5633802816901</v>
      </c>
      <c r="BT15" s="5">
        <f t="shared" si="57"/>
        <v>68125</v>
      </c>
      <c r="BV15" s="69">
        <v>45881</v>
      </c>
      <c r="BW15" s="4">
        <v>89400</v>
      </c>
      <c r="BX15" s="4">
        <f t="shared" si="25"/>
        <v>78823</v>
      </c>
      <c r="BY15" s="4">
        <v>71</v>
      </c>
      <c r="BZ15" s="4">
        <f t="shared" si="40"/>
        <v>10577</v>
      </c>
      <c r="CA15" s="67">
        <f t="shared" si="41"/>
        <v>148.97183098591549</v>
      </c>
      <c r="CB15" s="67">
        <f t="shared" si="42"/>
        <v>4469.1549295774648</v>
      </c>
      <c r="CC15" s="5">
        <f t="shared" si="58"/>
        <v>40309</v>
      </c>
      <c r="CE15" s="69">
        <v>45881</v>
      </c>
      <c r="CF15" s="67">
        <v>135000</v>
      </c>
      <c r="CG15" s="67">
        <f t="shared" si="59"/>
        <v>126905</v>
      </c>
      <c r="CH15" s="67">
        <v>71</v>
      </c>
      <c r="CI15" s="67">
        <f t="shared" si="26"/>
        <v>8095</v>
      </c>
      <c r="CJ15" s="67">
        <f t="shared" si="27"/>
        <v>114.01408450704226</v>
      </c>
      <c r="CK15" s="67">
        <f t="shared" si="28"/>
        <v>3420.4225352112676</v>
      </c>
      <c r="CL15" s="5">
        <f t="shared" si="46"/>
        <v>59448</v>
      </c>
      <c r="CN15" s="69">
        <v>45881</v>
      </c>
      <c r="CO15" s="67">
        <v>56125</v>
      </c>
      <c r="CP15" s="67">
        <f t="shared" si="29"/>
        <v>0</v>
      </c>
      <c r="CQ15" s="67"/>
      <c r="CR15" s="67">
        <f t="shared" si="30"/>
        <v>56125</v>
      </c>
      <c r="CS15" s="4" t="e">
        <f t="shared" si="31"/>
        <v>#DIV/0!</v>
      </c>
      <c r="CT15" s="4" t="e">
        <f t="shared" si="32"/>
        <v>#DIV/0!</v>
      </c>
      <c r="CU15" s="5">
        <f>CO15-27278</f>
        <v>28847</v>
      </c>
      <c r="CV15" s="5"/>
      <c r="CW15" s="21">
        <v>45881</v>
      </c>
      <c r="CX15" s="101">
        <v>40220</v>
      </c>
      <c r="CY15" s="101">
        <f t="shared" ref="CY15:CY20" si="63">CX14</f>
        <v>26650</v>
      </c>
      <c r="CZ15" s="100">
        <v>71</v>
      </c>
      <c r="DA15" s="67">
        <f t="shared" ref="DA15:DA20" si="64">CX15-CY15</f>
        <v>13570</v>
      </c>
      <c r="DB15" s="67">
        <f t="shared" si="51"/>
        <v>191.12676056338029</v>
      </c>
      <c r="DC15" s="67">
        <f t="shared" si="62"/>
        <v>5733.8028169014087</v>
      </c>
      <c r="DD15" s="5">
        <f t="shared" si="53"/>
        <v>13968</v>
      </c>
      <c r="DF15" s="29">
        <v>45881</v>
      </c>
      <c r="DG15" s="101">
        <v>42900</v>
      </c>
      <c r="DH15" s="101">
        <f>DG14</f>
        <v>32567</v>
      </c>
      <c r="DI15" s="100">
        <v>33</v>
      </c>
      <c r="DJ15" s="67">
        <f>DG15-DH15</f>
        <v>10333</v>
      </c>
      <c r="DK15" s="67">
        <f>DJ15/DI15</f>
        <v>313.12121212121212</v>
      </c>
      <c r="DL15" s="75">
        <f t="shared" ref="DL15" si="65">DK15*30</f>
        <v>9393.636363636364</v>
      </c>
      <c r="DM15" s="5">
        <f>DG15-30000</f>
        <v>12900</v>
      </c>
      <c r="DN15" s="5"/>
      <c r="DO15" s="29">
        <v>45881</v>
      </c>
      <c r="DP15" s="101">
        <v>50595</v>
      </c>
      <c r="DQ15" s="101">
        <f>DP14</f>
        <v>50050</v>
      </c>
      <c r="DR15" s="101">
        <v>28</v>
      </c>
      <c r="DS15" s="67">
        <f>DP15-DQ15</f>
        <v>545</v>
      </c>
      <c r="DT15" s="67">
        <f>DS15/DR15</f>
        <v>19.464285714285715</v>
      </c>
      <c r="DU15" s="67">
        <f t="shared" ref="DU15" si="66">DT15*30</f>
        <v>583.92857142857144</v>
      </c>
      <c r="DV15" s="5">
        <f t="shared" ref="DV15:DV20" si="67">DP15-50000</f>
        <v>595</v>
      </c>
    </row>
    <row r="16" spans="1:126" ht="16" x14ac:dyDescent="0.2">
      <c r="A16" s="3"/>
      <c r="B16" s="69"/>
      <c r="C16" s="67"/>
      <c r="D16" s="67">
        <f t="shared" si="33"/>
        <v>114720</v>
      </c>
      <c r="E16" s="4"/>
      <c r="F16" s="4">
        <f t="shared" si="34"/>
        <v>-114720</v>
      </c>
      <c r="G16" s="67" t="e">
        <f t="shared" si="0"/>
        <v>#DIV/0!</v>
      </c>
      <c r="H16" s="67" t="e">
        <f t="shared" si="1"/>
        <v>#DIV/0!</v>
      </c>
      <c r="I16" s="79">
        <f t="shared" si="47"/>
        <v>-49853</v>
      </c>
      <c r="J16" s="4"/>
      <c r="K16" s="69">
        <v>45881</v>
      </c>
      <c r="L16" s="67">
        <v>121200</v>
      </c>
      <c r="M16" s="67">
        <f t="shared" ref="M16" si="68">L15</f>
        <v>111415</v>
      </c>
      <c r="N16" s="67">
        <v>66</v>
      </c>
      <c r="O16" s="67">
        <f t="shared" ref="O16" si="69">L16-M16</f>
        <v>9785</v>
      </c>
      <c r="P16" s="67">
        <f t="shared" ref="P16" si="70">O16/N16</f>
        <v>148.25757575757575</v>
      </c>
      <c r="Q16" s="67">
        <f t="shared" ref="Q16" si="71">P16*30</f>
        <v>4447.7272727272721</v>
      </c>
      <c r="R16" s="5">
        <f t="shared" ref="R16" si="72">L16-55678</f>
        <v>65522</v>
      </c>
      <c r="T16" s="4"/>
      <c r="U16" s="67"/>
      <c r="V16" s="67">
        <f t="shared" si="35"/>
        <v>89510</v>
      </c>
      <c r="W16" s="67"/>
      <c r="X16" s="67">
        <f t="shared" si="6"/>
        <v>-89510</v>
      </c>
      <c r="Y16" s="67" t="e">
        <f t="shared" si="7"/>
        <v>#DIV/0!</v>
      </c>
      <c r="Z16" s="67" t="e">
        <f t="shared" si="8"/>
        <v>#DIV/0!</v>
      </c>
      <c r="AA16" s="5">
        <f t="shared" si="55"/>
        <v>-28261</v>
      </c>
      <c r="AC16" s="4"/>
      <c r="AD16" s="67"/>
      <c r="AE16" s="67">
        <f t="shared" si="36"/>
        <v>0</v>
      </c>
      <c r="AF16" s="67"/>
      <c r="AG16" s="67">
        <f t="shared" si="9"/>
        <v>0</v>
      </c>
      <c r="AH16" s="67" t="e">
        <f t="shared" si="10"/>
        <v>#DIV/0!</v>
      </c>
      <c r="AI16" s="67" t="e">
        <f t="shared" si="11"/>
        <v>#DIV/0!</v>
      </c>
      <c r="AL16" s="69">
        <v>45877</v>
      </c>
      <c r="AM16" s="67">
        <v>123052</v>
      </c>
      <c r="AN16" s="67">
        <f t="shared" ref="AN16" si="73">AM15</f>
        <v>0</v>
      </c>
      <c r="AO16" s="67"/>
      <c r="AP16" s="67">
        <f t="shared" ref="AP16" si="74">AM16-AN16</f>
        <v>123052</v>
      </c>
      <c r="AQ16" s="67" t="e">
        <f t="shared" ref="AQ16" si="75">AP16/AO16</f>
        <v>#DIV/0!</v>
      </c>
      <c r="AR16" s="67" t="e">
        <f t="shared" ref="AR16" si="76">AQ16*30</f>
        <v>#DIV/0!</v>
      </c>
      <c r="AS16" s="5">
        <f t="shared" ref="AS16:AS22" si="77">AM16-57887</f>
        <v>65165</v>
      </c>
      <c r="AU16" s="69">
        <v>45881</v>
      </c>
      <c r="AV16" s="67">
        <v>81800</v>
      </c>
      <c r="AW16" s="67">
        <f t="shared" si="37"/>
        <v>74994</v>
      </c>
      <c r="AX16" s="67">
        <v>66</v>
      </c>
      <c r="AY16" s="67">
        <f t="shared" si="16"/>
        <v>6806</v>
      </c>
      <c r="AZ16" s="67">
        <f t="shared" si="17"/>
        <v>103.12121212121212</v>
      </c>
      <c r="BA16" s="67">
        <f t="shared" si="18"/>
        <v>3093.636363636364</v>
      </c>
      <c r="BB16" s="5">
        <f t="shared" si="56"/>
        <v>52524</v>
      </c>
      <c r="BD16" s="4"/>
      <c r="BE16" s="67"/>
      <c r="BF16" s="67">
        <f t="shared" si="38"/>
        <v>134160</v>
      </c>
      <c r="BG16" s="67"/>
      <c r="BH16" s="67">
        <f t="shared" si="19"/>
        <v>-134160</v>
      </c>
      <c r="BI16" s="67" t="e">
        <f t="shared" si="20"/>
        <v>#DIV/0!</v>
      </c>
      <c r="BJ16" s="67" t="e">
        <f t="shared" si="21"/>
        <v>#DIV/0!</v>
      </c>
      <c r="BK16" s="5">
        <f t="shared" si="48"/>
        <v>-32258</v>
      </c>
      <c r="BM16" s="4"/>
      <c r="BN16" s="67"/>
      <c r="BO16" s="67">
        <f t="shared" si="39"/>
        <v>96950</v>
      </c>
      <c r="BP16" s="67"/>
      <c r="BQ16" s="67">
        <f t="shared" si="22"/>
        <v>-96950</v>
      </c>
      <c r="BR16" s="67" t="e">
        <f t="shared" si="23"/>
        <v>#DIV/0!</v>
      </c>
      <c r="BS16" s="67" t="e">
        <f t="shared" si="24"/>
        <v>#DIV/0!</v>
      </c>
      <c r="BT16" s="5">
        <f t="shared" si="57"/>
        <v>-28825</v>
      </c>
      <c r="BV16" s="4"/>
      <c r="BW16" s="4"/>
      <c r="BX16" s="4">
        <f t="shared" si="25"/>
        <v>89400</v>
      </c>
      <c r="BY16" s="4"/>
      <c r="BZ16" s="4">
        <f t="shared" si="40"/>
        <v>-89400</v>
      </c>
      <c r="CA16" s="67" t="e">
        <f t="shared" si="41"/>
        <v>#DIV/0!</v>
      </c>
      <c r="CB16" s="67" t="e">
        <f t="shared" si="42"/>
        <v>#DIV/0!</v>
      </c>
      <c r="CC16" s="5">
        <f t="shared" si="58"/>
        <v>-49091</v>
      </c>
      <c r="CE16" s="4"/>
      <c r="CF16" s="67"/>
      <c r="CG16" s="67">
        <f t="shared" si="59"/>
        <v>135000</v>
      </c>
      <c r="CH16" s="67"/>
      <c r="CI16" s="67">
        <f t="shared" si="26"/>
        <v>-135000</v>
      </c>
      <c r="CJ16" s="67" t="e">
        <f t="shared" si="27"/>
        <v>#DIV/0!</v>
      </c>
      <c r="CK16" s="67" t="e">
        <f t="shared" si="28"/>
        <v>#DIV/0!</v>
      </c>
      <c r="CL16" s="5">
        <f t="shared" si="46"/>
        <v>-75552</v>
      </c>
      <c r="CN16" s="4"/>
      <c r="CO16" s="67"/>
      <c r="CP16" s="67">
        <f t="shared" si="29"/>
        <v>56125</v>
      </c>
      <c r="CQ16" s="67"/>
      <c r="CR16" s="67">
        <f t="shared" si="30"/>
        <v>-56125</v>
      </c>
      <c r="CS16" s="4" t="e">
        <f t="shared" si="31"/>
        <v>#DIV/0!</v>
      </c>
      <c r="CT16" s="4" t="e">
        <f t="shared" si="32"/>
        <v>#DIV/0!</v>
      </c>
      <c r="CU16" s="5">
        <f>CO16-27278</f>
        <v>-27278</v>
      </c>
      <c r="CV16" s="5"/>
      <c r="CW16" s="1"/>
      <c r="CX16" s="101"/>
      <c r="CY16" s="101">
        <f t="shared" si="63"/>
        <v>40220</v>
      </c>
      <c r="CZ16" s="100"/>
      <c r="DA16" s="67">
        <f t="shared" si="64"/>
        <v>-40220</v>
      </c>
      <c r="DB16" s="67" t="e">
        <f t="shared" si="51"/>
        <v>#DIV/0!</v>
      </c>
      <c r="DC16" s="67" t="e">
        <f t="shared" ref="DC16" si="78">DB16*30</f>
        <v>#DIV/0!</v>
      </c>
      <c r="DD16" s="5">
        <f t="shared" si="53"/>
        <v>-26252</v>
      </c>
      <c r="DF16" s="29"/>
      <c r="DG16" s="101"/>
      <c r="DH16" s="101">
        <f>DG15</f>
        <v>42900</v>
      </c>
      <c r="DI16" s="100"/>
      <c r="DJ16" s="67">
        <f>DG16-DH16</f>
        <v>-42900</v>
      </c>
      <c r="DK16" s="67" t="e">
        <f>DJ16/DI16</f>
        <v>#DIV/0!</v>
      </c>
      <c r="DL16" s="67" t="e">
        <f t="shared" ref="DL16:DL18" si="79">DK16*30</f>
        <v>#DIV/0!</v>
      </c>
      <c r="DM16" s="5">
        <f>DG16-30000</f>
        <v>-30000</v>
      </c>
      <c r="DN16" s="5"/>
      <c r="DO16" s="29">
        <v>45912</v>
      </c>
      <c r="DP16" s="101">
        <v>51195</v>
      </c>
      <c r="DQ16" s="101">
        <f>DP15</f>
        <v>50595</v>
      </c>
      <c r="DR16" s="101">
        <v>31</v>
      </c>
      <c r="DS16" s="67">
        <f>DP16-DQ16</f>
        <v>600</v>
      </c>
      <c r="DT16" s="67">
        <f>DS16/DR16</f>
        <v>19.35483870967742</v>
      </c>
      <c r="DU16" s="67">
        <f t="shared" ref="DU16" si="80">DT16*30</f>
        <v>580.64516129032256</v>
      </c>
      <c r="DV16" s="5">
        <f t="shared" si="67"/>
        <v>1195</v>
      </c>
    </row>
    <row r="17" spans="1:126" ht="16" x14ac:dyDescent="0.2">
      <c r="A17" s="3"/>
      <c r="B17" s="4"/>
      <c r="C17" s="67"/>
      <c r="D17" s="67">
        <f t="shared" si="33"/>
        <v>0</v>
      </c>
      <c r="E17" s="4"/>
      <c r="F17" s="4">
        <f t="shared" si="34"/>
        <v>0</v>
      </c>
      <c r="G17" s="67" t="e">
        <f t="shared" si="0"/>
        <v>#DIV/0!</v>
      </c>
      <c r="H17" s="67" t="e">
        <f t="shared" si="1"/>
        <v>#DIV/0!</v>
      </c>
      <c r="I17" s="79">
        <f t="shared" si="47"/>
        <v>-49853</v>
      </c>
      <c r="J17" s="4"/>
      <c r="K17" s="4"/>
      <c r="L17" s="67"/>
      <c r="M17" s="67">
        <f t="shared" si="2"/>
        <v>121200</v>
      </c>
      <c r="N17" s="67"/>
      <c r="O17" s="67">
        <f t="shared" si="3"/>
        <v>-121200</v>
      </c>
      <c r="P17" s="67" t="e">
        <f t="shared" si="4"/>
        <v>#DIV/0!</v>
      </c>
      <c r="Q17" s="67" t="e">
        <f t="shared" si="5"/>
        <v>#DIV/0!</v>
      </c>
      <c r="R17" s="5">
        <f t="shared" si="54"/>
        <v>-55678</v>
      </c>
      <c r="T17" s="4"/>
      <c r="U17" s="67"/>
      <c r="V17" s="67">
        <f t="shared" si="35"/>
        <v>0</v>
      </c>
      <c r="W17" s="67"/>
      <c r="X17" s="67">
        <f t="shared" si="6"/>
        <v>0</v>
      </c>
      <c r="Y17" s="67" t="e">
        <f t="shared" si="7"/>
        <v>#DIV/0!</v>
      </c>
      <c r="Z17" s="67" t="e">
        <f t="shared" si="8"/>
        <v>#DIV/0!</v>
      </c>
      <c r="AA17" s="5">
        <f t="shared" si="55"/>
        <v>-28261</v>
      </c>
      <c r="AC17" s="4"/>
      <c r="AD17" s="67"/>
      <c r="AE17" s="67">
        <f t="shared" si="36"/>
        <v>0</v>
      </c>
      <c r="AF17" s="67"/>
      <c r="AG17" s="67">
        <f t="shared" si="9"/>
        <v>0</v>
      </c>
      <c r="AH17" s="67" t="e">
        <f t="shared" si="10"/>
        <v>#DIV/0!</v>
      </c>
      <c r="AI17" s="67" t="e">
        <f t="shared" si="11"/>
        <v>#DIV/0!</v>
      </c>
      <c r="AL17" s="4"/>
      <c r="AM17" s="67"/>
      <c r="AN17" s="67">
        <f t="shared" si="12"/>
        <v>123052</v>
      </c>
      <c r="AO17" s="67"/>
      <c r="AP17" s="67">
        <f t="shared" si="13"/>
        <v>-123052</v>
      </c>
      <c r="AQ17" s="67" t="e">
        <f t="shared" si="14"/>
        <v>#DIV/0!</v>
      </c>
      <c r="AR17" s="67" t="e">
        <f t="shared" si="15"/>
        <v>#DIV/0!</v>
      </c>
      <c r="AS17" s="5">
        <f t="shared" si="77"/>
        <v>-57887</v>
      </c>
      <c r="AU17" s="4"/>
      <c r="AV17" s="67"/>
      <c r="AW17" s="67">
        <f t="shared" si="37"/>
        <v>81800</v>
      </c>
      <c r="AX17" s="67"/>
      <c r="AY17" s="67">
        <f t="shared" si="16"/>
        <v>-81800</v>
      </c>
      <c r="AZ17" s="67" t="e">
        <f t="shared" si="17"/>
        <v>#DIV/0!</v>
      </c>
      <c r="BA17" s="67" t="e">
        <f t="shared" si="18"/>
        <v>#DIV/0!</v>
      </c>
      <c r="BB17" s="5">
        <f t="shared" si="56"/>
        <v>-29276</v>
      </c>
      <c r="BD17" s="4"/>
      <c r="BE17" s="67"/>
      <c r="BF17" s="67">
        <f t="shared" si="38"/>
        <v>0</v>
      </c>
      <c r="BG17" s="67"/>
      <c r="BH17" s="67">
        <f t="shared" si="19"/>
        <v>0</v>
      </c>
      <c r="BI17" s="67" t="e">
        <f t="shared" si="20"/>
        <v>#DIV/0!</v>
      </c>
      <c r="BJ17" s="67" t="e">
        <f t="shared" si="21"/>
        <v>#DIV/0!</v>
      </c>
      <c r="BK17" s="5">
        <f t="shared" si="48"/>
        <v>-32258</v>
      </c>
      <c r="BM17" s="4"/>
      <c r="BN17" s="67"/>
      <c r="BO17" s="67">
        <f t="shared" si="39"/>
        <v>0</v>
      </c>
      <c r="BP17" s="67"/>
      <c r="BQ17" s="67">
        <f t="shared" si="22"/>
        <v>0</v>
      </c>
      <c r="BR17" s="67" t="e">
        <f t="shared" si="23"/>
        <v>#DIV/0!</v>
      </c>
      <c r="BS17" s="67" t="e">
        <f t="shared" si="24"/>
        <v>#DIV/0!</v>
      </c>
      <c r="BT17" s="5">
        <f t="shared" si="57"/>
        <v>-28825</v>
      </c>
      <c r="BV17" s="4"/>
      <c r="BW17" s="4"/>
      <c r="BX17" s="4">
        <f t="shared" si="25"/>
        <v>0</v>
      </c>
      <c r="BY17" s="4"/>
      <c r="BZ17" s="4">
        <f t="shared" si="40"/>
        <v>0</v>
      </c>
      <c r="CA17" s="67" t="e">
        <f t="shared" si="41"/>
        <v>#DIV/0!</v>
      </c>
      <c r="CB17" s="67" t="e">
        <f t="shared" si="42"/>
        <v>#DIV/0!</v>
      </c>
      <c r="CC17" s="5">
        <f t="shared" si="58"/>
        <v>-49091</v>
      </c>
      <c r="CE17" s="4"/>
      <c r="CF17" s="67"/>
      <c r="CG17" s="67">
        <f t="shared" si="59"/>
        <v>0</v>
      </c>
      <c r="CH17" s="67"/>
      <c r="CI17" s="67">
        <f t="shared" si="26"/>
        <v>0</v>
      </c>
      <c r="CJ17" s="67" t="e">
        <f t="shared" si="27"/>
        <v>#DIV/0!</v>
      </c>
      <c r="CK17" s="67" t="e">
        <f t="shared" si="28"/>
        <v>#DIV/0!</v>
      </c>
      <c r="CL17" s="5">
        <f t="shared" si="46"/>
        <v>-75552</v>
      </c>
      <c r="CN17" s="4"/>
      <c r="CO17" s="67"/>
      <c r="CP17" s="67">
        <f t="shared" si="29"/>
        <v>0</v>
      </c>
      <c r="CQ17" s="67"/>
      <c r="CR17" s="67">
        <f t="shared" si="30"/>
        <v>0</v>
      </c>
      <c r="CS17" s="4" t="e">
        <f t="shared" si="31"/>
        <v>#DIV/0!</v>
      </c>
      <c r="CT17" s="4" t="e">
        <f t="shared" si="32"/>
        <v>#DIV/0!</v>
      </c>
      <c r="CU17" s="5">
        <f>CO17-27278</f>
        <v>-27278</v>
      </c>
      <c r="CV17" s="5"/>
      <c r="CW17" s="1"/>
      <c r="CX17" s="101"/>
      <c r="CY17" s="101">
        <f t="shared" si="63"/>
        <v>0</v>
      </c>
      <c r="CZ17" s="100"/>
      <c r="DA17" s="67">
        <f t="shared" si="64"/>
        <v>0</v>
      </c>
      <c r="DB17" s="67" t="e">
        <f t="shared" si="51"/>
        <v>#DIV/0!</v>
      </c>
      <c r="DC17" s="67" t="e">
        <f t="shared" ref="DC17:DC20" si="81">DB17*30</f>
        <v>#DIV/0!</v>
      </c>
      <c r="DD17" s="5">
        <f t="shared" si="53"/>
        <v>-26252</v>
      </c>
      <c r="DF17" s="29"/>
      <c r="DG17" s="101"/>
      <c r="DH17" s="101">
        <f>DG16</f>
        <v>0</v>
      </c>
      <c r="DI17" s="100"/>
      <c r="DJ17" s="67">
        <f>DG17-DH17</f>
        <v>0</v>
      </c>
      <c r="DK17" s="67" t="e">
        <f>DJ17/DI17</f>
        <v>#DIV/0!</v>
      </c>
      <c r="DL17" s="67" t="e">
        <f t="shared" si="79"/>
        <v>#DIV/0!</v>
      </c>
      <c r="DM17" s="5">
        <f>DG17-30000</f>
        <v>-30000</v>
      </c>
      <c r="DN17" s="5"/>
      <c r="DO17" s="29"/>
      <c r="DP17" s="101"/>
      <c r="DQ17" s="101">
        <f>DP16</f>
        <v>51195</v>
      </c>
      <c r="DR17" s="101"/>
      <c r="DS17" s="67">
        <f>DP17-DQ17</f>
        <v>-51195</v>
      </c>
      <c r="DT17" s="67" t="e">
        <f>DS17/DR17</f>
        <v>#DIV/0!</v>
      </c>
      <c r="DU17" s="67" t="e">
        <f t="shared" ref="DU17:DU19" si="82">DT17*30</f>
        <v>#DIV/0!</v>
      </c>
      <c r="DV17" s="5">
        <f t="shared" si="67"/>
        <v>-50000</v>
      </c>
    </row>
    <row r="18" spans="1:126" ht="16" x14ac:dyDescent="0.2">
      <c r="A18" s="3"/>
      <c r="B18" s="4"/>
      <c r="C18" s="67"/>
      <c r="D18" s="67">
        <f t="shared" si="33"/>
        <v>0</v>
      </c>
      <c r="E18" s="4"/>
      <c r="F18" s="4">
        <f t="shared" si="34"/>
        <v>0</v>
      </c>
      <c r="G18" s="67" t="e">
        <f t="shared" si="0"/>
        <v>#DIV/0!</v>
      </c>
      <c r="H18" s="67" t="e">
        <f t="shared" si="1"/>
        <v>#DIV/0!</v>
      </c>
      <c r="I18" s="79">
        <f t="shared" si="47"/>
        <v>-49853</v>
      </c>
      <c r="J18" s="4"/>
      <c r="K18" s="4"/>
      <c r="L18" s="67"/>
      <c r="M18" s="67">
        <f t="shared" si="2"/>
        <v>0</v>
      </c>
      <c r="N18" s="67"/>
      <c r="O18" s="67">
        <f t="shared" si="3"/>
        <v>0</v>
      </c>
      <c r="P18" s="67" t="e">
        <f t="shared" si="4"/>
        <v>#DIV/0!</v>
      </c>
      <c r="Q18" s="67" t="e">
        <f t="shared" si="5"/>
        <v>#DIV/0!</v>
      </c>
      <c r="R18" s="5">
        <f t="shared" si="54"/>
        <v>-55678</v>
      </c>
      <c r="T18" s="4"/>
      <c r="U18" s="67"/>
      <c r="V18" s="67">
        <f t="shared" si="35"/>
        <v>0</v>
      </c>
      <c r="W18" s="67"/>
      <c r="X18" s="67">
        <f t="shared" si="6"/>
        <v>0</v>
      </c>
      <c r="Y18" s="67" t="e">
        <f t="shared" si="7"/>
        <v>#DIV/0!</v>
      </c>
      <c r="Z18" s="67" t="e">
        <f t="shared" si="8"/>
        <v>#DIV/0!</v>
      </c>
      <c r="AA18" s="5">
        <f t="shared" si="55"/>
        <v>-28261</v>
      </c>
      <c r="AC18" s="4"/>
      <c r="AD18" s="67"/>
      <c r="AE18" s="67">
        <f t="shared" si="36"/>
        <v>0</v>
      </c>
      <c r="AF18" s="67"/>
      <c r="AG18" s="67">
        <f t="shared" si="9"/>
        <v>0</v>
      </c>
      <c r="AH18" s="67" t="e">
        <f t="shared" si="10"/>
        <v>#DIV/0!</v>
      </c>
      <c r="AI18" s="67" t="e">
        <f t="shared" si="11"/>
        <v>#DIV/0!</v>
      </c>
      <c r="AL18" s="4"/>
      <c r="AM18" s="67"/>
      <c r="AN18" s="67">
        <f t="shared" si="12"/>
        <v>0</v>
      </c>
      <c r="AO18" s="67"/>
      <c r="AP18" s="67">
        <f t="shared" si="13"/>
        <v>0</v>
      </c>
      <c r="AQ18" s="67" t="e">
        <f t="shared" si="14"/>
        <v>#DIV/0!</v>
      </c>
      <c r="AR18" s="67" t="e">
        <f t="shared" si="15"/>
        <v>#DIV/0!</v>
      </c>
      <c r="AS18" s="5">
        <f t="shared" si="77"/>
        <v>-57887</v>
      </c>
      <c r="AU18" s="4"/>
      <c r="AV18" s="67"/>
      <c r="AW18" s="67">
        <f t="shared" si="37"/>
        <v>0</v>
      </c>
      <c r="AX18" s="67"/>
      <c r="AY18" s="67">
        <f t="shared" si="16"/>
        <v>0</v>
      </c>
      <c r="AZ18" s="67" t="e">
        <f t="shared" si="17"/>
        <v>#DIV/0!</v>
      </c>
      <c r="BA18" s="67" t="e">
        <f t="shared" si="18"/>
        <v>#DIV/0!</v>
      </c>
      <c r="BB18" s="5">
        <f t="shared" si="56"/>
        <v>-29276</v>
      </c>
      <c r="BD18" s="4"/>
      <c r="BE18" s="67"/>
      <c r="BF18" s="67">
        <f t="shared" si="38"/>
        <v>0</v>
      </c>
      <c r="BG18" s="67"/>
      <c r="BH18" s="67">
        <f t="shared" si="19"/>
        <v>0</v>
      </c>
      <c r="BI18" s="67" t="e">
        <f t="shared" si="20"/>
        <v>#DIV/0!</v>
      </c>
      <c r="BJ18" s="67" t="e">
        <f t="shared" si="21"/>
        <v>#DIV/0!</v>
      </c>
      <c r="BK18" s="5">
        <f t="shared" si="48"/>
        <v>-32258</v>
      </c>
      <c r="BM18" s="4"/>
      <c r="BN18" s="67"/>
      <c r="BO18" s="67">
        <f t="shared" si="39"/>
        <v>0</v>
      </c>
      <c r="BP18" s="67"/>
      <c r="BQ18" s="67">
        <f t="shared" si="22"/>
        <v>0</v>
      </c>
      <c r="BR18" s="67" t="e">
        <f t="shared" si="23"/>
        <v>#DIV/0!</v>
      </c>
      <c r="BS18" s="67" t="e">
        <f t="shared" si="24"/>
        <v>#DIV/0!</v>
      </c>
      <c r="BT18" s="5">
        <f t="shared" si="57"/>
        <v>-28825</v>
      </c>
      <c r="BV18" s="4"/>
      <c r="BW18" s="4"/>
      <c r="BX18" s="4">
        <f t="shared" si="25"/>
        <v>0</v>
      </c>
      <c r="BY18" s="4"/>
      <c r="BZ18" s="4">
        <f t="shared" si="40"/>
        <v>0</v>
      </c>
      <c r="CA18" s="67" t="e">
        <f t="shared" si="41"/>
        <v>#DIV/0!</v>
      </c>
      <c r="CB18" s="67" t="e">
        <f t="shared" si="42"/>
        <v>#DIV/0!</v>
      </c>
      <c r="CC18" s="5">
        <f t="shared" si="58"/>
        <v>-49091</v>
      </c>
      <c r="CE18" s="4"/>
      <c r="CF18" s="67"/>
      <c r="CG18" s="67">
        <f t="shared" si="59"/>
        <v>0</v>
      </c>
      <c r="CH18" s="67"/>
      <c r="CI18" s="67">
        <f t="shared" si="26"/>
        <v>0</v>
      </c>
      <c r="CJ18" s="67" t="e">
        <f t="shared" si="27"/>
        <v>#DIV/0!</v>
      </c>
      <c r="CK18" s="67" t="e">
        <f t="shared" si="28"/>
        <v>#DIV/0!</v>
      </c>
      <c r="CL18" s="5">
        <f t="shared" si="46"/>
        <v>-75552</v>
      </c>
      <c r="CN18" s="4"/>
      <c r="CO18" s="67"/>
      <c r="CP18" s="67">
        <f t="shared" si="29"/>
        <v>0</v>
      </c>
      <c r="CQ18" s="67"/>
      <c r="CR18" s="67">
        <f t="shared" si="30"/>
        <v>0</v>
      </c>
      <c r="CS18" s="4" t="e">
        <f t="shared" si="31"/>
        <v>#DIV/0!</v>
      </c>
      <c r="CT18" s="4" t="e">
        <f t="shared" si="32"/>
        <v>#DIV/0!</v>
      </c>
      <c r="CU18" s="5">
        <f>CO18-27278</f>
        <v>-27278</v>
      </c>
      <c r="CV18" s="5"/>
      <c r="CW18" s="1"/>
      <c r="CX18" s="101"/>
      <c r="CY18" s="101">
        <f t="shared" si="63"/>
        <v>0</v>
      </c>
      <c r="CZ18" s="100"/>
      <c r="DA18" s="67">
        <f t="shared" si="64"/>
        <v>0</v>
      </c>
      <c r="DB18" s="67" t="e">
        <f t="shared" si="51"/>
        <v>#DIV/0!</v>
      </c>
      <c r="DC18" s="67" t="e">
        <f t="shared" si="81"/>
        <v>#DIV/0!</v>
      </c>
      <c r="DD18" s="5">
        <f t="shared" si="53"/>
        <v>-26252</v>
      </c>
      <c r="DF18" s="29"/>
      <c r="DG18" s="101"/>
      <c r="DH18" s="101">
        <f>DG17</f>
        <v>0</v>
      </c>
      <c r="DI18" s="100"/>
      <c r="DJ18" s="67">
        <f>DG18-DH18</f>
        <v>0</v>
      </c>
      <c r="DK18" s="67" t="e">
        <f>DJ18/DI18</f>
        <v>#DIV/0!</v>
      </c>
      <c r="DL18" s="67" t="e">
        <f t="shared" si="79"/>
        <v>#DIV/0!</v>
      </c>
      <c r="DM18" s="5">
        <f>DG18-30000</f>
        <v>-30000</v>
      </c>
      <c r="DN18" s="5"/>
      <c r="DO18" s="29"/>
      <c r="DP18" s="101"/>
      <c r="DQ18" s="101">
        <f>DP17</f>
        <v>0</v>
      </c>
      <c r="DR18" s="101"/>
      <c r="DS18" s="67">
        <f>DP18-DQ18</f>
        <v>0</v>
      </c>
      <c r="DT18" s="67" t="e">
        <f>DS18/DR18</f>
        <v>#DIV/0!</v>
      </c>
      <c r="DU18" s="67" t="e">
        <f t="shared" si="82"/>
        <v>#DIV/0!</v>
      </c>
      <c r="DV18" s="5">
        <f t="shared" si="67"/>
        <v>-50000</v>
      </c>
    </row>
    <row r="19" spans="1:126" ht="16" x14ac:dyDescent="0.2">
      <c r="A19" s="3"/>
      <c r="B19" s="4"/>
      <c r="C19" s="67"/>
      <c r="D19" s="67">
        <f t="shared" si="33"/>
        <v>0</v>
      </c>
      <c r="E19" s="4"/>
      <c r="F19" s="4">
        <f t="shared" si="34"/>
        <v>0</v>
      </c>
      <c r="G19" s="67" t="e">
        <f t="shared" si="0"/>
        <v>#DIV/0!</v>
      </c>
      <c r="H19" s="67" t="e">
        <f t="shared" si="1"/>
        <v>#DIV/0!</v>
      </c>
      <c r="I19" s="79">
        <f t="shared" si="47"/>
        <v>-49853</v>
      </c>
      <c r="J19" s="4"/>
      <c r="K19" s="4"/>
      <c r="L19" s="67"/>
      <c r="M19" s="67">
        <f t="shared" si="2"/>
        <v>0</v>
      </c>
      <c r="N19" s="67"/>
      <c r="O19" s="67">
        <f t="shared" si="3"/>
        <v>0</v>
      </c>
      <c r="P19" s="67" t="e">
        <f t="shared" si="4"/>
        <v>#DIV/0!</v>
      </c>
      <c r="Q19" s="67" t="e">
        <f t="shared" si="5"/>
        <v>#DIV/0!</v>
      </c>
      <c r="R19" s="5">
        <f t="shared" si="54"/>
        <v>-55678</v>
      </c>
      <c r="T19" s="4"/>
      <c r="U19" s="67"/>
      <c r="V19" s="67">
        <f t="shared" si="35"/>
        <v>0</v>
      </c>
      <c r="W19" s="67"/>
      <c r="X19" s="67">
        <f t="shared" si="6"/>
        <v>0</v>
      </c>
      <c r="Y19" s="67" t="e">
        <f t="shared" si="7"/>
        <v>#DIV/0!</v>
      </c>
      <c r="Z19" s="67" t="e">
        <f t="shared" si="8"/>
        <v>#DIV/0!</v>
      </c>
      <c r="AA19" s="5">
        <f t="shared" si="55"/>
        <v>-28261</v>
      </c>
      <c r="AC19" s="4"/>
      <c r="AD19" s="67"/>
      <c r="AE19" s="67">
        <f t="shared" si="36"/>
        <v>0</v>
      </c>
      <c r="AF19" s="67"/>
      <c r="AG19" s="67">
        <f t="shared" si="9"/>
        <v>0</v>
      </c>
      <c r="AH19" s="67" t="e">
        <f t="shared" si="10"/>
        <v>#DIV/0!</v>
      </c>
      <c r="AI19" s="67" t="e">
        <f t="shared" si="11"/>
        <v>#DIV/0!</v>
      </c>
      <c r="AL19" s="4"/>
      <c r="AM19" s="67"/>
      <c r="AN19" s="67">
        <f t="shared" si="12"/>
        <v>0</v>
      </c>
      <c r="AO19" s="67"/>
      <c r="AP19" s="67">
        <f t="shared" si="13"/>
        <v>0</v>
      </c>
      <c r="AQ19" s="67" t="e">
        <f t="shared" si="14"/>
        <v>#DIV/0!</v>
      </c>
      <c r="AR19" s="67" t="e">
        <f t="shared" si="15"/>
        <v>#DIV/0!</v>
      </c>
      <c r="AS19" s="5">
        <f t="shared" si="77"/>
        <v>-57887</v>
      </c>
      <c r="AU19" s="4"/>
      <c r="AV19" s="67"/>
      <c r="AW19" s="67">
        <f t="shared" si="37"/>
        <v>0</v>
      </c>
      <c r="AX19" s="67"/>
      <c r="AY19" s="67">
        <f t="shared" si="16"/>
        <v>0</v>
      </c>
      <c r="AZ19" s="67" t="e">
        <f t="shared" si="17"/>
        <v>#DIV/0!</v>
      </c>
      <c r="BA19" s="67" t="e">
        <f t="shared" si="18"/>
        <v>#DIV/0!</v>
      </c>
      <c r="BB19" s="5">
        <f t="shared" si="56"/>
        <v>-29276</v>
      </c>
      <c r="BD19" s="4"/>
      <c r="BE19" s="67"/>
      <c r="BF19" s="67">
        <f t="shared" si="38"/>
        <v>0</v>
      </c>
      <c r="BG19" s="67"/>
      <c r="BH19" s="67">
        <f t="shared" si="19"/>
        <v>0</v>
      </c>
      <c r="BI19" s="67" t="e">
        <f t="shared" si="20"/>
        <v>#DIV/0!</v>
      </c>
      <c r="BJ19" s="67" t="e">
        <f t="shared" si="21"/>
        <v>#DIV/0!</v>
      </c>
      <c r="BK19" s="5">
        <f t="shared" si="48"/>
        <v>-32258</v>
      </c>
      <c r="BM19" s="4"/>
      <c r="BN19" s="67"/>
      <c r="BO19" s="67">
        <f t="shared" si="39"/>
        <v>0</v>
      </c>
      <c r="BP19" s="67"/>
      <c r="BQ19" s="67">
        <f t="shared" si="22"/>
        <v>0</v>
      </c>
      <c r="BR19" s="67" t="e">
        <f t="shared" si="23"/>
        <v>#DIV/0!</v>
      </c>
      <c r="BS19" s="67" t="e">
        <f t="shared" si="24"/>
        <v>#DIV/0!</v>
      </c>
      <c r="BT19" s="5">
        <f t="shared" si="57"/>
        <v>-28825</v>
      </c>
      <c r="BV19" s="4"/>
      <c r="BW19" s="4"/>
      <c r="BX19" s="4">
        <f t="shared" si="25"/>
        <v>0</v>
      </c>
      <c r="BY19" s="4"/>
      <c r="BZ19" s="4">
        <f t="shared" si="40"/>
        <v>0</v>
      </c>
      <c r="CA19" s="67" t="e">
        <f t="shared" si="41"/>
        <v>#DIV/0!</v>
      </c>
      <c r="CB19" s="67" t="e">
        <f t="shared" si="42"/>
        <v>#DIV/0!</v>
      </c>
      <c r="CC19" s="5">
        <f t="shared" si="58"/>
        <v>-49091</v>
      </c>
      <c r="CE19" s="4"/>
      <c r="CF19" s="67"/>
      <c r="CG19" s="67">
        <f t="shared" si="59"/>
        <v>0</v>
      </c>
      <c r="CH19" s="67"/>
      <c r="CI19" s="67">
        <f t="shared" si="26"/>
        <v>0</v>
      </c>
      <c r="CJ19" s="67" t="e">
        <f t="shared" si="27"/>
        <v>#DIV/0!</v>
      </c>
      <c r="CK19" s="67" t="e">
        <f t="shared" si="28"/>
        <v>#DIV/0!</v>
      </c>
      <c r="CL19" s="5">
        <f t="shared" si="46"/>
        <v>-75552</v>
      </c>
      <c r="CN19" s="4"/>
      <c r="CO19" s="67"/>
      <c r="CP19" s="67">
        <f t="shared" si="29"/>
        <v>0</v>
      </c>
      <c r="CQ19" s="67"/>
      <c r="CR19" s="67">
        <f t="shared" si="30"/>
        <v>0</v>
      </c>
      <c r="CS19" s="4" t="e">
        <f t="shared" si="31"/>
        <v>#DIV/0!</v>
      </c>
      <c r="CT19" s="4" t="e">
        <f t="shared" si="32"/>
        <v>#DIV/0!</v>
      </c>
      <c r="CU19" s="5">
        <f>CO19-27278</f>
        <v>-27278</v>
      </c>
      <c r="CV19" s="5"/>
      <c r="CW19" s="1"/>
      <c r="CX19" s="101"/>
      <c r="CY19" s="101">
        <f t="shared" si="63"/>
        <v>0</v>
      </c>
      <c r="CZ19" s="100"/>
      <c r="DA19" s="67">
        <f t="shared" si="64"/>
        <v>0</v>
      </c>
      <c r="DB19" s="67" t="e">
        <f t="shared" si="51"/>
        <v>#DIV/0!</v>
      </c>
      <c r="DC19" s="67" t="e">
        <f t="shared" si="81"/>
        <v>#DIV/0!</v>
      </c>
      <c r="DD19" s="5">
        <f t="shared" si="53"/>
        <v>-26252</v>
      </c>
      <c r="DF19" s="29"/>
      <c r="DG19" s="5"/>
      <c r="DH19" s="5"/>
      <c r="DI19" s="5"/>
      <c r="DJ19" s="5"/>
      <c r="DK19" s="5"/>
      <c r="DL19" s="5"/>
      <c r="DM19" s="5"/>
      <c r="DN19" s="5"/>
      <c r="DO19" s="29"/>
      <c r="DP19" s="101"/>
      <c r="DQ19" s="101">
        <f>DP18</f>
        <v>0</v>
      </c>
      <c r="DR19" s="101"/>
      <c r="DS19" s="67">
        <f>DP19-DQ19</f>
        <v>0</v>
      </c>
      <c r="DT19" s="67" t="e">
        <f>DS19/DR19</f>
        <v>#DIV/0!</v>
      </c>
      <c r="DU19" s="67" t="e">
        <f t="shared" si="82"/>
        <v>#DIV/0!</v>
      </c>
      <c r="DV19" s="5">
        <f t="shared" si="67"/>
        <v>-50000</v>
      </c>
    </row>
    <row r="20" spans="1:126" ht="16" x14ac:dyDescent="0.2">
      <c r="A20" s="3"/>
      <c r="B20" s="4"/>
      <c r="C20" s="67"/>
      <c r="D20" s="67">
        <f t="shared" si="33"/>
        <v>0</v>
      </c>
      <c r="E20" s="4"/>
      <c r="F20" s="4">
        <f t="shared" si="34"/>
        <v>0</v>
      </c>
      <c r="G20" s="67" t="e">
        <f t="shared" si="0"/>
        <v>#DIV/0!</v>
      </c>
      <c r="H20" s="67" t="e">
        <f t="shared" si="1"/>
        <v>#DIV/0!</v>
      </c>
      <c r="I20" s="79">
        <f t="shared" si="47"/>
        <v>-49853</v>
      </c>
      <c r="J20" s="4"/>
      <c r="K20" s="4"/>
      <c r="L20" s="67"/>
      <c r="M20" s="67">
        <f t="shared" si="2"/>
        <v>0</v>
      </c>
      <c r="N20" s="67"/>
      <c r="O20" s="67">
        <f t="shared" si="3"/>
        <v>0</v>
      </c>
      <c r="P20" s="67" t="e">
        <f t="shared" si="4"/>
        <v>#DIV/0!</v>
      </c>
      <c r="Q20" s="67" t="e">
        <f t="shared" si="5"/>
        <v>#DIV/0!</v>
      </c>
      <c r="R20" s="5">
        <f t="shared" si="54"/>
        <v>-55678</v>
      </c>
      <c r="T20" s="4"/>
      <c r="U20" s="67"/>
      <c r="V20" s="67">
        <f t="shared" si="35"/>
        <v>0</v>
      </c>
      <c r="W20" s="67"/>
      <c r="X20" s="67">
        <f t="shared" si="6"/>
        <v>0</v>
      </c>
      <c r="Y20" s="67" t="e">
        <f t="shared" si="7"/>
        <v>#DIV/0!</v>
      </c>
      <c r="Z20" s="67" t="e">
        <f t="shared" si="8"/>
        <v>#DIV/0!</v>
      </c>
      <c r="AA20" s="5">
        <f t="shared" si="55"/>
        <v>-28261</v>
      </c>
      <c r="AC20" s="4"/>
      <c r="AD20" s="67"/>
      <c r="AE20" s="67">
        <f t="shared" si="36"/>
        <v>0</v>
      </c>
      <c r="AF20" s="67"/>
      <c r="AG20" s="67">
        <f t="shared" si="9"/>
        <v>0</v>
      </c>
      <c r="AH20" s="67" t="e">
        <f t="shared" si="10"/>
        <v>#DIV/0!</v>
      </c>
      <c r="AI20" s="67" t="e">
        <f t="shared" si="11"/>
        <v>#DIV/0!</v>
      </c>
      <c r="AL20" s="4"/>
      <c r="AM20" s="67"/>
      <c r="AN20" s="67">
        <f t="shared" si="12"/>
        <v>0</v>
      </c>
      <c r="AO20" s="67"/>
      <c r="AP20" s="67">
        <f t="shared" si="13"/>
        <v>0</v>
      </c>
      <c r="AQ20" s="67" t="e">
        <f t="shared" si="14"/>
        <v>#DIV/0!</v>
      </c>
      <c r="AR20" s="67" t="e">
        <f t="shared" si="15"/>
        <v>#DIV/0!</v>
      </c>
      <c r="AS20" s="5">
        <f t="shared" si="77"/>
        <v>-57887</v>
      </c>
      <c r="AU20" s="4"/>
      <c r="AV20" s="67"/>
      <c r="AW20" s="67">
        <f t="shared" si="37"/>
        <v>0</v>
      </c>
      <c r="AX20" s="67"/>
      <c r="AY20" s="67">
        <f t="shared" si="16"/>
        <v>0</v>
      </c>
      <c r="AZ20" s="67" t="e">
        <f t="shared" si="17"/>
        <v>#DIV/0!</v>
      </c>
      <c r="BA20" s="67" t="e">
        <f t="shared" si="18"/>
        <v>#DIV/0!</v>
      </c>
      <c r="BB20" s="5">
        <f t="shared" si="56"/>
        <v>-29276</v>
      </c>
      <c r="BD20" s="4"/>
      <c r="BE20" s="67"/>
      <c r="BF20" s="67">
        <f t="shared" si="38"/>
        <v>0</v>
      </c>
      <c r="BG20" s="67"/>
      <c r="BH20" s="67">
        <f t="shared" si="19"/>
        <v>0</v>
      </c>
      <c r="BI20" s="67" t="e">
        <f t="shared" si="20"/>
        <v>#DIV/0!</v>
      </c>
      <c r="BJ20" s="67" t="e">
        <f t="shared" si="21"/>
        <v>#DIV/0!</v>
      </c>
      <c r="BK20" s="5">
        <f t="shared" si="48"/>
        <v>-32258</v>
      </c>
      <c r="BM20" s="4"/>
      <c r="BN20" s="67"/>
      <c r="BO20" s="67">
        <f t="shared" si="39"/>
        <v>0</v>
      </c>
      <c r="BP20" s="67"/>
      <c r="BQ20" s="67">
        <f t="shared" si="22"/>
        <v>0</v>
      </c>
      <c r="BR20" s="67" t="e">
        <f t="shared" si="23"/>
        <v>#DIV/0!</v>
      </c>
      <c r="BS20" s="67" t="e">
        <f t="shared" si="24"/>
        <v>#DIV/0!</v>
      </c>
      <c r="BT20" s="5">
        <f t="shared" si="57"/>
        <v>-28825</v>
      </c>
      <c r="BV20" s="4"/>
      <c r="BW20" s="4"/>
      <c r="BX20" s="4">
        <f t="shared" si="25"/>
        <v>0</v>
      </c>
      <c r="BY20" s="4"/>
      <c r="BZ20" s="4">
        <f t="shared" si="40"/>
        <v>0</v>
      </c>
      <c r="CA20" s="67" t="e">
        <f t="shared" si="41"/>
        <v>#DIV/0!</v>
      </c>
      <c r="CB20" s="67" t="e">
        <f t="shared" si="42"/>
        <v>#DIV/0!</v>
      </c>
      <c r="CC20" s="5">
        <f t="shared" si="58"/>
        <v>-49091</v>
      </c>
      <c r="CE20" s="4"/>
      <c r="CF20" s="67"/>
      <c r="CG20" s="67">
        <f t="shared" si="59"/>
        <v>0</v>
      </c>
      <c r="CH20" s="67"/>
      <c r="CI20" s="67">
        <f t="shared" si="26"/>
        <v>0</v>
      </c>
      <c r="CJ20" s="67" t="e">
        <f t="shared" si="27"/>
        <v>#DIV/0!</v>
      </c>
      <c r="CK20" s="67" t="e">
        <f t="shared" si="28"/>
        <v>#DIV/0!</v>
      </c>
      <c r="CL20" s="5">
        <f t="shared" si="46"/>
        <v>-75552</v>
      </c>
      <c r="CN20" s="4"/>
      <c r="CO20" s="67"/>
      <c r="CP20" s="67">
        <f t="shared" si="29"/>
        <v>0</v>
      </c>
      <c r="CQ20" s="67"/>
      <c r="CR20" s="67">
        <f t="shared" si="30"/>
        <v>0</v>
      </c>
      <c r="CS20" s="4" t="e">
        <f t="shared" si="31"/>
        <v>#DIV/0!</v>
      </c>
      <c r="CT20" s="4" t="e">
        <f t="shared" si="32"/>
        <v>#DIV/0!</v>
      </c>
      <c r="CU20" s="5"/>
      <c r="CV20" s="5"/>
      <c r="CW20" s="1"/>
      <c r="CX20" s="101"/>
      <c r="CY20" s="101">
        <f t="shared" si="63"/>
        <v>0</v>
      </c>
      <c r="CZ20" s="100"/>
      <c r="DA20" s="67">
        <f t="shared" si="64"/>
        <v>0</v>
      </c>
      <c r="DB20" s="67" t="e">
        <f t="shared" si="51"/>
        <v>#DIV/0!</v>
      </c>
      <c r="DC20" s="67" t="e">
        <f t="shared" si="81"/>
        <v>#DIV/0!</v>
      </c>
      <c r="DD20" s="5">
        <f t="shared" si="53"/>
        <v>-26252</v>
      </c>
      <c r="DV20" s="5">
        <f t="shared" si="67"/>
        <v>-50000</v>
      </c>
    </row>
    <row r="21" spans="1:126" ht="16" x14ac:dyDescent="0.2">
      <c r="A21" s="3"/>
      <c r="B21" s="4"/>
      <c r="C21" s="67"/>
      <c r="D21" s="67">
        <f t="shared" si="33"/>
        <v>0</v>
      </c>
      <c r="E21" s="4"/>
      <c r="F21" s="4">
        <f t="shared" si="34"/>
        <v>0</v>
      </c>
      <c r="G21" s="67" t="e">
        <f t="shared" si="0"/>
        <v>#DIV/0!</v>
      </c>
      <c r="H21" s="67" t="e">
        <f t="shared" si="1"/>
        <v>#DIV/0!</v>
      </c>
      <c r="I21" s="79">
        <f t="shared" si="47"/>
        <v>-49853</v>
      </c>
      <c r="J21" s="4"/>
      <c r="K21" s="4"/>
      <c r="L21" s="67"/>
      <c r="M21" s="67">
        <f t="shared" si="2"/>
        <v>0</v>
      </c>
      <c r="N21" s="67"/>
      <c r="O21" s="67">
        <f t="shared" si="3"/>
        <v>0</v>
      </c>
      <c r="P21" s="67" t="e">
        <f t="shared" si="4"/>
        <v>#DIV/0!</v>
      </c>
      <c r="Q21" s="67" t="e">
        <f t="shared" si="5"/>
        <v>#DIV/0!</v>
      </c>
      <c r="R21" s="5">
        <f t="shared" si="54"/>
        <v>-55678</v>
      </c>
      <c r="T21" s="4"/>
      <c r="U21" s="67"/>
      <c r="V21" s="67">
        <f t="shared" si="35"/>
        <v>0</v>
      </c>
      <c r="W21" s="67"/>
      <c r="X21" s="67">
        <f t="shared" si="6"/>
        <v>0</v>
      </c>
      <c r="Y21" s="67" t="e">
        <f t="shared" si="7"/>
        <v>#DIV/0!</v>
      </c>
      <c r="Z21" s="67" t="e">
        <f t="shared" si="8"/>
        <v>#DIV/0!</v>
      </c>
      <c r="AA21" s="5">
        <f t="shared" si="55"/>
        <v>-28261</v>
      </c>
      <c r="AC21" s="4"/>
      <c r="AD21" s="67"/>
      <c r="AE21" s="67">
        <f t="shared" si="36"/>
        <v>0</v>
      </c>
      <c r="AF21" s="67"/>
      <c r="AG21" s="67">
        <f t="shared" si="9"/>
        <v>0</v>
      </c>
      <c r="AH21" s="67" t="e">
        <f t="shared" si="10"/>
        <v>#DIV/0!</v>
      </c>
      <c r="AI21" s="67" t="e">
        <f t="shared" si="11"/>
        <v>#DIV/0!</v>
      </c>
      <c r="AL21" s="4"/>
      <c r="AM21" s="67"/>
      <c r="AN21" s="67">
        <f t="shared" si="12"/>
        <v>0</v>
      </c>
      <c r="AO21" s="67"/>
      <c r="AP21" s="67">
        <f t="shared" si="13"/>
        <v>0</v>
      </c>
      <c r="AQ21" s="67" t="e">
        <f t="shared" si="14"/>
        <v>#DIV/0!</v>
      </c>
      <c r="AR21" s="67" t="e">
        <f t="shared" si="15"/>
        <v>#DIV/0!</v>
      </c>
      <c r="AS21" s="5">
        <f t="shared" si="77"/>
        <v>-57887</v>
      </c>
      <c r="AU21" s="4"/>
      <c r="AV21" s="67"/>
      <c r="AW21" s="67">
        <f t="shared" si="37"/>
        <v>0</v>
      </c>
      <c r="AX21" s="67"/>
      <c r="AY21" s="67">
        <f t="shared" si="16"/>
        <v>0</v>
      </c>
      <c r="AZ21" s="67" t="e">
        <f t="shared" si="17"/>
        <v>#DIV/0!</v>
      </c>
      <c r="BA21" s="67" t="e">
        <f t="shared" si="18"/>
        <v>#DIV/0!</v>
      </c>
      <c r="BB21" s="5">
        <f t="shared" si="56"/>
        <v>-29276</v>
      </c>
      <c r="BD21" s="4"/>
      <c r="BE21" s="67"/>
      <c r="BF21" s="67">
        <f t="shared" si="38"/>
        <v>0</v>
      </c>
      <c r="BG21" s="67"/>
      <c r="BH21" s="67">
        <f t="shared" si="19"/>
        <v>0</v>
      </c>
      <c r="BI21" s="67" t="e">
        <f t="shared" si="20"/>
        <v>#DIV/0!</v>
      </c>
      <c r="BJ21" s="67" t="e">
        <f t="shared" si="21"/>
        <v>#DIV/0!</v>
      </c>
      <c r="BK21" s="5">
        <f t="shared" si="48"/>
        <v>-32258</v>
      </c>
      <c r="BM21" s="4"/>
      <c r="BN21" s="67"/>
      <c r="BO21" s="67">
        <f t="shared" si="39"/>
        <v>0</v>
      </c>
      <c r="BP21" s="67"/>
      <c r="BQ21" s="67">
        <f t="shared" si="22"/>
        <v>0</v>
      </c>
      <c r="BR21" s="67" t="e">
        <f t="shared" si="23"/>
        <v>#DIV/0!</v>
      </c>
      <c r="BS21" s="67" t="e">
        <f t="shared" si="24"/>
        <v>#DIV/0!</v>
      </c>
      <c r="BT21" s="5">
        <f t="shared" si="57"/>
        <v>-28825</v>
      </c>
      <c r="BV21" s="4"/>
      <c r="BW21" s="4"/>
      <c r="BX21" s="4">
        <f t="shared" si="25"/>
        <v>0</v>
      </c>
      <c r="BY21" s="4"/>
      <c r="BZ21" s="4">
        <f t="shared" si="40"/>
        <v>0</v>
      </c>
      <c r="CA21" s="67" t="e">
        <f t="shared" si="41"/>
        <v>#DIV/0!</v>
      </c>
      <c r="CB21" s="67" t="e">
        <f t="shared" si="42"/>
        <v>#DIV/0!</v>
      </c>
      <c r="CC21" s="5">
        <f t="shared" si="58"/>
        <v>-49091</v>
      </c>
      <c r="CE21" s="4"/>
      <c r="CF21" s="67"/>
      <c r="CG21" s="67">
        <f t="shared" si="59"/>
        <v>0</v>
      </c>
      <c r="CH21" s="67"/>
      <c r="CI21" s="67">
        <f t="shared" si="26"/>
        <v>0</v>
      </c>
      <c r="CJ21" s="67" t="e">
        <f t="shared" si="27"/>
        <v>#DIV/0!</v>
      </c>
      <c r="CK21" s="67" t="e">
        <f t="shared" si="28"/>
        <v>#DIV/0!</v>
      </c>
      <c r="CL21" s="5">
        <f t="shared" si="46"/>
        <v>-75552</v>
      </c>
      <c r="CN21" s="4"/>
      <c r="CO21" s="67"/>
      <c r="CP21" s="67">
        <f t="shared" si="29"/>
        <v>0</v>
      </c>
      <c r="CQ21" s="67"/>
      <c r="CR21" s="67">
        <f t="shared" si="30"/>
        <v>0</v>
      </c>
      <c r="CS21" s="4" t="e">
        <f t="shared" si="31"/>
        <v>#DIV/0!</v>
      </c>
      <c r="CT21" s="4" t="e">
        <f t="shared" si="32"/>
        <v>#DIV/0!</v>
      </c>
      <c r="CU21" s="5"/>
      <c r="CV21" s="5"/>
      <c r="CW21" s="1"/>
      <c r="CX21" s="101"/>
      <c r="CY21" s="101"/>
      <c r="CZ21" s="100"/>
      <c r="DA21" s="102"/>
      <c r="DB21" s="102"/>
      <c r="DC21" s="102"/>
      <c r="DD21" s="1"/>
    </row>
    <row r="22" spans="1:126" ht="16" x14ac:dyDescent="0.2">
      <c r="A22" s="3"/>
      <c r="B22" s="4"/>
      <c r="C22" s="67"/>
      <c r="D22" s="67">
        <f t="shared" si="33"/>
        <v>0</v>
      </c>
      <c r="E22" s="4"/>
      <c r="F22" s="4">
        <f t="shared" si="34"/>
        <v>0</v>
      </c>
      <c r="G22" s="67" t="e">
        <f t="shared" si="0"/>
        <v>#DIV/0!</v>
      </c>
      <c r="H22" s="67" t="e">
        <f t="shared" si="1"/>
        <v>#DIV/0!</v>
      </c>
      <c r="I22" s="79">
        <f t="shared" si="47"/>
        <v>-49853</v>
      </c>
      <c r="J22" s="4"/>
      <c r="K22" s="4"/>
      <c r="L22" s="67"/>
      <c r="M22" s="67">
        <f t="shared" si="2"/>
        <v>0</v>
      </c>
      <c r="N22" s="67"/>
      <c r="O22" s="67">
        <f t="shared" si="3"/>
        <v>0</v>
      </c>
      <c r="P22" s="67" t="e">
        <f t="shared" si="4"/>
        <v>#DIV/0!</v>
      </c>
      <c r="Q22" s="67" t="e">
        <f t="shared" si="5"/>
        <v>#DIV/0!</v>
      </c>
      <c r="R22" s="5">
        <f t="shared" si="54"/>
        <v>-55678</v>
      </c>
      <c r="T22" s="4"/>
      <c r="U22" s="67"/>
      <c r="V22" s="67">
        <f t="shared" si="35"/>
        <v>0</v>
      </c>
      <c r="W22" s="67"/>
      <c r="X22" s="67">
        <f t="shared" si="6"/>
        <v>0</v>
      </c>
      <c r="Y22" s="67" t="e">
        <f t="shared" si="7"/>
        <v>#DIV/0!</v>
      </c>
      <c r="Z22" s="67" t="e">
        <f t="shared" si="8"/>
        <v>#DIV/0!</v>
      </c>
      <c r="AA22" s="5">
        <f t="shared" si="55"/>
        <v>-28261</v>
      </c>
      <c r="AC22" s="4"/>
      <c r="AD22" s="67"/>
      <c r="AE22" s="67">
        <f t="shared" si="36"/>
        <v>0</v>
      </c>
      <c r="AF22" s="67"/>
      <c r="AG22" s="67">
        <f t="shared" si="9"/>
        <v>0</v>
      </c>
      <c r="AH22" s="67" t="e">
        <f t="shared" si="10"/>
        <v>#DIV/0!</v>
      </c>
      <c r="AI22" s="67" t="e">
        <f t="shared" si="11"/>
        <v>#DIV/0!</v>
      </c>
      <c r="AL22" s="4"/>
      <c r="AM22" s="67"/>
      <c r="AN22" s="67">
        <f t="shared" si="12"/>
        <v>0</v>
      </c>
      <c r="AO22" s="67"/>
      <c r="AP22" s="67">
        <f t="shared" si="13"/>
        <v>0</v>
      </c>
      <c r="AQ22" s="67" t="e">
        <f t="shared" si="14"/>
        <v>#DIV/0!</v>
      </c>
      <c r="AR22" s="67" t="e">
        <f t="shared" si="15"/>
        <v>#DIV/0!</v>
      </c>
      <c r="AS22" s="5">
        <f t="shared" si="77"/>
        <v>-57887</v>
      </c>
      <c r="AU22" s="4"/>
      <c r="AV22" s="67"/>
      <c r="AW22" s="67">
        <f t="shared" si="37"/>
        <v>0</v>
      </c>
      <c r="AX22" s="67"/>
      <c r="AY22" s="67">
        <f t="shared" si="16"/>
        <v>0</v>
      </c>
      <c r="AZ22" s="67" t="e">
        <f t="shared" si="17"/>
        <v>#DIV/0!</v>
      </c>
      <c r="BA22" s="67" t="e">
        <f t="shared" si="18"/>
        <v>#DIV/0!</v>
      </c>
      <c r="BB22" s="5">
        <f t="shared" si="56"/>
        <v>-29276</v>
      </c>
      <c r="BD22" s="4"/>
      <c r="BE22" s="67"/>
      <c r="BF22" s="67">
        <f t="shared" si="38"/>
        <v>0</v>
      </c>
      <c r="BG22" s="67"/>
      <c r="BH22" s="67">
        <f t="shared" si="19"/>
        <v>0</v>
      </c>
      <c r="BI22" s="67" t="e">
        <f t="shared" si="20"/>
        <v>#DIV/0!</v>
      </c>
      <c r="BJ22" s="67" t="e">
        <f t="shared" si="21"/>
        <v>#DIV/0!</v>
      </c>
      <c r="BK22" s="5">
        <f t="shared" si="48"/>
        <v>-32258</v>
      </c>
      <c r="BM22" s="4"/>
      <c r="BN22" s="67"/>
      <c r="BO22" s="67">
        <f t="shared" si="39"/>
        <v>0</v>
      </c>
      <c r="BP22" s="67"/>
      <c r="BQ22" s="67">
        <f t="shared" si="22"/>
        <v>0</v>
      </c>
      <c r="BR22" s="67" t="e">
        <f t="shared" si="23"/>
        <v>#DIV/0!</v>
      </c>
      <c r="BS22" s="67" t="e">
        <f t="shared" si="24"/>
        <v>#DIV/0!</v>
      </c>
      <c r="BT22" s="5">
        <f t="shared" si="57"/>
        <v>-28825</v>
      </c>
      <c r="BV22" s="4"/>
      <c r="BW22" s="4"/>
      <c r="BX22" s="4">
        <f t="shared" si="25"/>
        <v>0</v>
      </c>
      <c r="BY22" s="4"/>
      <c r="BZ22" s="4">
        <f t="shared" si="40"/>
        <v>0</v>
      </c>
      <c r="CA22" s="67" t="e">
        <f t="shared" si="41"/>
        <v>#DIV/0!</v>
      </c>
      <c r="CB22" s="67" t="e">
        <f t="shared" si="42"/>
        <v>#DIV/0!</v>
      </c>
      <c r="CC22" s="5">
        <f t="shared" si="58"/>
        <v>-49091</v>
      </c>
      <c r="CE22" s="4"/>
      <c r="CF22" s="67"/>
      <c r="CG22" s="67">
        <f t="shared" si="59"/>
        <v>0</v>
      </c>
      <c r="CH22" s="67"/>
      <c r="CI22" s="67">
        <f t="shared" si="26"/>
        <v>0</v>
      </c>
      <c r="CJ22" s="67" t="e">
        <f t="shared" si="27"/>
        <v>#DIV/0!</v>
      </c>
      <c r="CK22" s="67" t="e">
        <f t="shared" si="28"/>
        <v>#DIV/0!</v>
      </c>
      <c r="CL22" s="5">
        <f t="shared" si="46"/>
        <v>-75552</v>
      </c>
      <c r="CN22" s="4"/>
      <c r="CO22" s="67"/>
      <c r="CP22" s="67">
        <f t="shared" si="29"/>
        <v>0</v>
      </c>
      <c r="CQ22" s="67"/>
      <c r="CR22" s="67">
        <f t="shared" si="30"/>
        <v>0</v>
      </c>
      <c r="CS22" s="4" t="e">
        <f t="shared" si="31"/>
        <v>#DIV/0!</v>
      </c>
      <c r="CT22" s="4" t="e">
        <f t="shared" si="32"/>
        <v>#DIV/0!</v>
      </c>
      <c r="CU22" s="5"/>
      <c r="CV22" s="5"/>
      <c r="CX22" s="101"/>
      <c r="CY22" s="101"/>
      <c r="CZ22" s="100"/>
      <c r="DA22" s="102"/>
      <c r="DB22" s="102"/>
      <c r="DC22" s="102"/>
      <c r="DD22" s="1"/>
    </row>
    <row r="23" spans="1:126" ht="16" x14ac:dyDescent="0.2">
      <c r="A23" s="3"/>
      <c r="B23" s="263" t="s">
        <v>85</v>
      </c>
      <c r="C23" s="264"/>
      <c r="D23" s="264"/>
      <c r="E23" s="264"/>
      <c r="F23" s="264"/>
      <c r="G23" s="264"/>
      <c r="H23" s="265"/>
      <c r="I23" s="78"/>
      <c r="J23" s="4"/>
      <c r="K23" s="4"/>
      <c r="AC23" s="263" t="s">
        <v>85</v>
      </c>
      <c r="AD23" s="264"/>
      <c r="AE23" s="264"/>
      <c r="AF23" s="264"/>
      <c r="AG23" s="264"/>
      <c r="AH23" s="264"/>
      <c r="AI23" s="265"/>
      <c r="AL23" s="263" t="s">
        <v>85</v>
      </c>
      <c r="AM23" s="264"/>
      <c r="AN23" s="264"/>
      <c r="AO23" s="264"/>
      <c r="AP23" s="264"/>
      <c r="AQ23" s="264"/>
      <c r="AR23" s="265"/>
      <c r="BD23" s="263" t="s">
        <v>85</v>
      </c>
      <c r="BE23" s="264"/>
      <c r="BF23" s="264"/>
      <c r="BG23" s="264"/>
      <c r="BH23" s="264"/>
      <c r="BI23" s="264"/>
      <c r="BJ23" s="265"/>
      <c r="CE23" s="263" t="s">
        <v>85</v>
      </c>
      <c r="CF23" s="264"/>
      <c r="CG23" s="264"/>
      <c r="CH23" s="264"/>
      <c r="CI23" s="264"/>
      <c r="CJ23" s="264"/>
      <c r="CK23" s="265"/>
      <c r="CO23" s="5"/>
      <c r="CP23" s="5"/>
      <c r="CQ23" s="5"/>
      <c r="CR23" s="5"/>
      <c r="CU23" s="5"/>
      <c r="CV23" s="5"/>
      <c r="CX23" s="101"/>
      <c r="CY23" s="101"/>
      <c r="CZ23" s="100"/>
      <c r="DA23" s="102"/>
      <c r="DB23" s="102"/>
      <c r="DC23" s="102"/>
      <c r="DD23" s="1"/>
    </row>
    <row r="24" spans="1:126" ht="16" x14ac:dyDescent="0.2">
      <c r="A24" s="3"/>
      <c r="B24" s="82" t="s">
        <v>86</v>
      </c>
      <c r="C24" s="67"/>
      <c r="D24" s="67"/>
      <c r="E24" s="4"/>
      <c r="F24" s="4"/>
      <c r="G24" s="67"/>
      <c r="H24" s="67"/>
      <c r="I24" s="78"/>
      <c r="J24" s="4"/>
      <c r="K24" s="4"/>
      <c r="AC24" s="8" t="s">
        <v>91</v>
      </c>
      <c r="AL24" s="8" t="s">
        <v>130</v>
      </c>
      <c r="BD24" s="8" t="s">
        <v>95</v>
      </c>
      <c r="CE24" s="8" t="s">
        <v>96</v>
      </c>
      <c r="CU24" s="5"/>
      <c r="CV24" s="5"/>
      <c r="CX24" s="101"/>
      <c r="CY24" s="101"/>
      <c r="CZ24" s="100"/>
      <c r="DA24" s="102"/>
      <c r="DB24" s="102"/>
      <c r="DC24" s="102"/>
      <c r="DD24" s="1"/>
    </row>
    <row r="25" spans="1:126" ht="16" x14ac:dyDescent="0.2">
      <c r="B25" s="8" t="s">
        <v>87</v>
      </c>
      <c r="I25" s="77"/>
      <c r="AC25" s="8" t="s">
        <v>92</v>
      </c>
      <c r="AL25" s="8" t="s">
        <v>92</v>
      </c>
      <c r="BD25" s="8" t="s">
        <v>92</v>
      </c>
      <c r="CE25" s="8" t="s">
        <v>93</v>
      </c>
      <c r="CX25" s="101"/>
      <c r="CY25" s="101"/>
      <c r="CZ25" s="100"/>
      <c r="DA25" s="102"/>
      <c r="DB25" s="102"/>
      <c r="DC25" s="102"/>
    </row>
    <row r="26" spans="1:126" ht="16" x14ac:dyDescent="0.2">
      <c r="B26" s="8" t="s">
        <v>88</v>
      </c>
      <c r="AC26" s="8" t="s">
        <v>93</v>
      </c>
      <c r="AL26" s="8" t="s">
        <v>93</v>
      </c>
      <c r="BD26" s="8" t="s">
        <v>93</v>
      </c>
      <c r="CE26" s="8" t="s">
        <v>94</v>
      </c>
      <c r="CX26" s="102"/>
      <c r="CY26" s="102"/>
      <c r="CZ26" s="100"/>
      <c r="DA26" s="102"/>
      <c r="DB26" s="102"/>
      <c r="DC26" s="102"/>
    </row>
    <row r="27" spans="1:126" x14ac:dyDescent="0.2">
      <c r="B27" s="1" t="s">
        <v>89</v>
      </c>
      <c r="AC27" s="8" t="s">
        <v>94</v>
      </c>
      <c r="AL27" s="8" t="s">
        <v>94</v>
      </c>
      <c r="BD27" s="8" t="s">
        <v>94</v>
      </c>
      <c r="CE27" s="1" t="s">
        <v>89</v>
      </c>
      <c r="CZ27" s="1"/>
    </row>
    <row r="28" spans="1:126" x14ac:dyDescent="0.2">
      <c r="AC28" s="1" t="s">
        <v>89</v>
      </c>
    </row>
  </sheetData>
  <mergeCells count="65">
    <mergeCell ref="B12:H12"/>
    <mergeCell ref="AL23:AR23"/>
    <mergeCell ref="CN6:CT6"/>
    <mergeCell ref="B6:H6"/>
    <mergeCell ref="K6:Q6"/>
    <mergeCell ref="T6:Z6"/>
    <mergeCell ref="AC6:AI6"/>
    <mergeCell ref="AL6:AR6"/>
    <mergeCell ref="AU6:BA6"/>
    <mergeCell ref="BD6:BJ6"/>
    <mergeCell ref="BM6:BS6"/>
    <mergeCell ref="BV6:CB6"/>
    <mergeCell ref="CE6:CK6"/>
    <mergeCell ref="AL15:AR15"/>
    <mergeCell ref="BD12:BJ12"/>
    <mergeCell ref="CE11:CK11"/>
    <mergeCell ref="CN4:CT4"/>
    <mergeCell ref="B4:H4"/>
    <mergeCell ref="K4:Q4"/>
    <mergeCell ref="T4:Z4"/>
    <mergeCell ref="AC4:AI4"/>
    <mergeCell ref="AL4:AR4"/>
    <mergeCell ref="AU4:BA4"/>
    <mergeCell ref="BD4:BJ4"/>
    <mergeCell ref="BM4:BS4"/>
    <mergeCell ref="BV4:CB4"/>
    <mergeCell ref="CE4:CK4"/>
    <mergeCell ref="BM2:BS2"/>
    <mergeCell ref="BV2:CB2"/>
    <mergeCell ref="CE2:CK2"/>
    <mergeCell ref="CN3:CT3"/>
    <mergeCell ref="B3:H3"/>
    <mergeCell ref="K3:Q3"/>
    <mergeCell ref="T3:Z3"/>
    <mergeCell ref="AC3:AI3"/>
    <mergeCell ref="AL3:AR3"/>
    <mergeCell ref="AU3:BA3"/>
    <mergeCell ref="BD3:BJ3"/>
    <mergeCell ref="BM3:BS3"/>
    <mergeCell ref="BV3:CB3"/>
    <mergeCell ref="CE3:CK3"/>
    <mergeCell ref="CW2:DC2"/>
    <mergeCell ref="CW3:DC3"/>
    <mergeCell ref="CW4:DC4"/>
    <mergeCell ref="CW6:DC6"/>
    <mergeCell ref="B23:H23"/>
    <mergeCell ref="AC23:AI23"/>
    <mergeCell ref="BD23:BJ23"/>
    <mergeCell ref="CE23:CK23"/>
    <mergeCell ref="CN2:CT2"/>
    <mergeCell ref="B2:H2"/>
    <mergeCell ref="K2:Q2"/>
    <mergeCell ref="T2:Z2"/>
    <mergeCell ref="AC2:AI2"/>
    <mergeCell ref="AL2:AR2"/>
    <mergeCell ref="AU2:BA2"/>
    <mergeCell ref="BD2:BJ2"/>
    <mergeCell ref="DF2:DL2"/>
    <mergeCell ref="DO2:DU2"/>
    <mergeCell ref="DF3:DL3"/>
    <mergeCell ref="DF4:DL4"/>
    <mergeCell ref="DF6:DL6"/>
    <mergeCell ref="DO3:DU3"/>
    <mergeCell ref="DO4:DU4"/>
    <mergeCell ref="DO6:DU6"/>
  </mergeCells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Frota</vt:lpstr>
      <vt:lpstr>Planilha PH</vt:lpstr>
      <vt:lpstr>Sinistros</vt:lpstr>
      <vt:lpstr>Cont.km.2025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</dc:creator>
  <cp:lastModifiedBy>Microsoft Office User</cp:lastModifiedBy>
  <cp:lastPrinted>2026-06-18T22:34:03Z</cp:lastPrinted>
  <dcterms:created xsi:type="dcterms:W3CDTF">2020-07-01T17:14:41Z</dcterms:created>
  <dcterms:modified xsi:type="dcterms:W3CDTF">2026-07-15T19:20:10Z</dcterms:modified>
</cp:coreProperties>
</file>